
<file path=[Content_Types].xml><?xml version="1.0" encoding="utf-8"?>
<Types xmlns="http://schemas.openxmlformats.org/package/2006/content-types">
  <Default Extension="xml" ContentType="application/vnd.openxmlformats-officedocument.spreadsheetml.sheet.main+xml"/>
  <Default Extension="vml" ContentType="application/vnd.openxmlformats-officedocument.vmlDrawing"/>
  <Default Extension="png" ContentType="image/p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comments1.xml" ContentType="application/vnd.openxmlformats-officedocument.spreadsheetml.comments+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2.xml" ContentType="application/vnd.openxmlformats-officedocument.spreadsheetml.comments+xml"/>
  <Override PartName="/xl/worksheets/sheet5.xml" ContentType="application/vnd.openxmlformats-officedocument.spreadsheetml.worksheet+xml"/>
  <Override PartName="/xl/comments3.xml" ContentType="application/vnd.openxmlformats-officedocument.spreadsheetml.comments+xml"/>
  <Override PartName="/xl/persons/person.xml" ContentType="application/vnd.ms-excel.person+xml"/>
</Types>
</file>

<file path=_rels/.rels>&#65279;<?xml version="1.0" encoding="utf-8"?><Relationships xmlns="http://schemas.openxmlformats.org/package/2006/relationships"><Relationship Type="http://schemas.openxmlformats.org/officeDocument/2006/relationships/officeDocument" Target="/xl/workbook.xml" Id="R0525e741caec40eb" /></Relationships>
</file>

<file path=xl/workbook.xml><?xml version="1.0" encoding="utf-8"?>
<x:workbook xmlns:x="http://schemas.openxmlformats.org/spreadsheetml/2006/main">
  <x:sheets>
    <x:sheet xmlns:r="http://schemas.openxmlformats.org/officeDocument/2006/relationships" name="Cover" sheetId="9" r:id="Rdb787cf5e54840bb"/>
    <x:sheet xmlns:r="http://schemas.openxmlformats.org/officeDocument/2006/relationships" name="Test Cases" sheetId="2" r:id="Rde613e81624549c5"/>
    <x:sheet xmlns:r="http://schemas.openxmlformats.org/officeDocument/2006/relationships" name="Test Statistics" sheetId="5" r:id="R97ca1cb433044cc4"/>
    <x:sheet xmlns:r="http://schemas.openxmlformats.org/officeDocument/2006/relationships" name="Feature 1" sheetId="3" r:id="R6ca39de4ffce4460"/>
    <x:sheet xmlns:r="http://schemas.openxmlformats.org/officeDocument/2006/relationships" name="Feature 2" sheetId="8" r:id="Rb4726b3c8ea843dc"/>
  </x:sheets>
  <x:definedNames>
    <x:definedName name="ACTION">#REF!</x:definedName>
    <x:definedName name="ACTION" localSheetId="0">#REF!</x:definedName>
  </x:definedNames>
</x:workbook>
</file>

<file path=xl/comments1.xml><?xml version="1.0" encoding="utf-8"?>
<x:comments xmlns:x="http://schemas.openxmlformats.org/spreadsheetml/2006/main">
  <x:authors>
    <x:author/>
  </x:authors>
  <x:commentList>
    <x:comment ref="D10" authorId="0">
      <x:text>
        <x:r>
          <x:t>*A: Add
  M: Modify
  D: Delete
</x:t>
        </x:r>
      </x:text>
    </x:comment>
  </x:commentList>
</x:comments>
</file>

<file path=xl/comments2.xml><?xml version="1.0" encoding="utf-8"?>
<x:comments xmlns:x="http://schemas.openxmlformats.org/spreadsheetml/2006/main">
  <x:authors>
    <x:author>tqsang</x:author>
  </x:authors>
  <x:commentList>
    <x:comment ref="E10" authorId="0">
      <x:text>
        <x:r>
          <x:t>List all test cases (must run before this case), conditions that must be done, or required state that the system should be in before performing this case</x:t>
        </x:r>
      </x:text>
    </x:comment>
  </x:commentList>
</x:comments>
</file>

<file path=xl/comments3.xml><?xml version="1.0" encoding="utf-8"?>
<x:comments xmlns:x="http://schemas.openxmlformats.org/spreadsheetml/2006/main">
  <x:authors>
    <x:author>tqsang</x:author>
  </x:authors>
  <x:commentList>
    <x:comment ref="E10" authorId="0">
      <x:text>
        <x:r>
          <x:t>List all test cases (must run before this case), conditions that must be done, or required state that the system should be in before performing this case</x:t>
        </x:r>
      </x:text>
    </x:comment>
  </x:commentList>
</x:comments>
</file>

<file path=xl/sharedStrings.xml><?xml version="1.0" encoding="utf-8"?>
<x:sst xmlns:x="http://schemas.openxmlformats.org/spreadsheetml/2006/main">
  <x:si>
    <x:t xml:space="preserve">TEST REPORT DOCUMENT</x:t>
  </x:si>
  <x:si>
    <x:t xml:space="preserve">Project Name</x:t>
  </x:si>
  <x:si>
    <x:t xml:space="preserve">Creator</x:t>
  </x:si>
  <x:si>
    <x:t xml:space="preserve">Project Code</x:t>
  </x:si>
  <x:si>
    <x:t xml:space="preserve">Issue Date</x:t>
  </x:si>
  <x:si>
    <x:t xml:space="preserve">Document Code</x:t>
  </x:si>
  <x:si>
    <x:t xml:space="preserve">Version</x:t>
  </x:si>
  <x:si>
    <x:t xml:space="preserve">Record of change</x:t>
  </x:si>
  <x:si>
    <x:t xml:space="preserve">Effective Date</x:t>
  </x:si>
  <x:si>
    <x:t xml:space="preserve">Change Item</x:t>
  </x:si>
  <x:si>
    <x:t xml:space="preserve">*A,D,M</x:t>
  </x:si>
  <x:si>
    <x:t xml:space="preserve">Change description</x:t>
  </x:si>
  <x:si>
    <x:t xml:space="preserve">Reference</x:t>
  </x:si>
  <x:si>
    <x:t xml:space="preserve">TEST CASE LIST</x:t>
  </x:si>
  <x:si>
    <x:t xml:space="preserve">Test Environment Setup Description</x:t>
  </x:si>
  <x:si>
    <x:t xml:space="preserve">No</x:t>
  </x:si>
  <x:si>
    <x:t xml:space="preserve">Function Name</x:t>
  </x:si>
  <x:si>
    <x:t xml:space="preserve">Sheet Name</x:t>
  </x:si>
  <x:si>
    <x:t xml:space="preserve">Description</x:t>
  </x:si>
  <x:si>
    <x:t xml:space="preserve">Pre-Condition</x:t>
  </x:si>
  <x:si>
    <x:t xml:space="preserve">TEST STATISTICS</x:t>
  </x:si>
  <x:si>
    <x:t xml:space="preserve">Reviewer/Approver</x:t>
  </x:si>
  <x:si>
    <x:t xml:space="preserve">Notes</x:t>
  </x:si>
  <x:si>
    <x:t xml:space="preserve">Module code</x:t>
  </x:si>
  <x:si>
    <x:t xml:space="preserve">Passed</x:t>
  </x:si>
  <x:si>
    <x:t xml:space="preserve">Failed</x:t>
  </x:si>
  <x:si>
    <x:t xml:space="preserve">Pending</x:t>
  </x:si>
  <x:si>
    <x:t xml:space="preserve">N/A</x:t>
  </x:si>
  <x:si>
    <x:t xml:space="preserve">Number of  test cases</x:t>
  </x:si>
  <x:si>
    <x:t xml:space="preserve">Sub total</x:t>
  </x:si>
  <x:si>
    <x:t xml:space="preserve">Test coverage</x:t>
  </x:si>
  <x:si>
    <x:t xml:space="preserve">%</x:t>
  </x:si>
  <x:si>
    <x:t xml:space="preserve">Test successful coverage</x:t>
  </x:si>
  <x:si>
    <x:t xml:space="preserve">Feature</x:t>
  </x:si>
  <x:si>
    <x:t xml:space="preserve">Test requirement</x:t>
  </x:si>
  <x:si>
    <x:t xml:space="preserve">Number of TCs</x:t>
  </x:si>
  <x:si>
    <x:t xml:space="preserve">Testing Round</x:t>
  </x:si>
  <x:si>
    <x:t xml:space="preserve">Round 1</x:t>
  </x:si>
  <x:si>
    <x:t xml:space="preserve">Round 2</x:t>
  </x:si>
  <x:si>
    <x:t xml:space="preserve">Round 3</x:t>
  </x:si>
  <x:si>
    <x:t xml:space="preserve">Test Case ID</x:t>
  </x:si>
  <x:si>
    <x:t xml:space="preserve">Test Case Description</x:t>
  </x:si>
  <x:si>
    <x:t xml:space="preserve">Test Case Procedure</x:t>
  </x:si>
  <x:si>
    <x:t xml:space="preserve">Expected Results</x:t>
  </x:si>
  <x:si>
    <x:t xml:space="preserve">Pre-conditions</x:t>
  </x:si>
  <x:si>
    <x:t xml:space="preserve">Test date</x:t>
  </x:si>
  <x:si>
    <x:t xml:space="preserve">Tester</x:t>
  </x:si>
  <x:si>
    <x:t xml:space="preserve">Note</x:t>
  </x:si>
</x:sst>
</file>

<file path=xl/styles.xml><?xml version="1.0" encoding="utf-8"?>
<x:styleSheet xmlns:x="http://schemas.openxmlformats.org/spreadsheetml/2006/main">
  <x:numFmts count="2">
    <x:numFmt numFmtId="164" formatCode="d\-mmm\-yy;@"/>
    <x:numFmt numFmtId="200" formatCode="yyyy-mm-dd"/>
  </x:numFmts>
  <x:fonts count="24">
    <x:font>
      <x:sz val="11"/>
      <x:name val="ＭＳ Ｐゴシック"/>
    </x:font>
    <x:font>
      <x:sz val="9"/>
      <x:name val="ＭＳ ゴシック"/>
    </x:font>
    <x:font>
      <x:sz val="10"/>
      <x:name val="Tahoma"/>
    </x:font>
    <x:font>
      <x:b/>
      <x:sz val="26"/>
      <x:color indexed="10"/>
      <x:name val="Tahoma"/>
    </x:font>
    <x:font>
      <x:b/>
      <x:sz val="20"/>
      <x:color indexed="8"/>
      <x:name val="Tahoma"/>
    </x:font>
    <x:font>
      <x:b/>
      <x:sz val="10"/>
      <x:color indexed="60"/>
      <x:name val="Tahoma"/>
    </x:font>
    <x:font>
      <x:i/>
      <x:sz val="10"/>
      <x:color indexed="17"/>
      <x:name val="Tahoma"/>
    </x:font>
    <x:font>
      <x:b/>
      <x:sz val="10"/>
      <x:color indexed="9"/>
      <x:name val="Tahoma"/>
    </x:font>
    <x:font>
      <x:b/>
      <x:sz val="10"/>
      <x:color indexed="8"/>
      <x:name val="Tahoma"/>
    </x:font>
    <x:font>
      <x:b/>
      <x:sz val="10"/>
      <x:color indexed="10"/>
      <x:name val="Tahoma"/>
    </x:font>
    <x:font>
      <x:b/>
      <x:sz val="10"/>
      <x:name val="Tahoma"/>
    </x:font>
    <x:font>
      <x:sz val="10"/>
      <x:color indexed="12"/>
      <x:name val="Tahoma"/>
    </x:font>
    <x:font>
      <x:sz val="11"/>
      <x:color indexed="12"/>
      <x:name val="ＭＳ Ｐゴシック"/>
    </x:font>
    <x:font>
      <x:sz val="10"/>
      <x:color indexed="10"/>
      <x:name val="Tahoma"/>
    </x:font>
    <x:font>
      <x:sz val="10"/>
      <x:color indexed="8"/>
      <x:name val="Tahoma"/>
    </x:font>
    <x:font>
      <x:sz val="10"/>
      <x:color indexed="9"/>
      <x:name val="Tahoma"/>
    </x:font>
    <x:font>
      <x:b/>
      <x:sz val="10"/>
      <x:color indexed="12"/>
      <x:name val="Tahoma"/>
    </x:font>
    <x:font>
      <x:sz val="11"/>
      <x:name val="ＭＳ Ｐゴシック"/>
    </x:font>
    <x:font>
      <x:b/>
      <x:i/>
      <x:sz val="10"/>
      <x:name val="Tahoma"/>
    </x:font>
    <x:font>
      <x:sz val="8"/>
      <x:color rgb="FF000000"/>
      <x:name val="Tahoma"/>
    </x:font>
    <x:font>
      <x:sz val="11"/>
      <x:name val="ＭＳ Ｐゴシック"/>
    </x:font>
    <x:font>
      <x:i/>
      <x:sz val="10"/>
      <x:name val="Tahoma"/>
    </x:font>
    <x:font>
      <x:b/>
      <x:sz val="8"/>
      <x:color indexed="81"/>
      <x:name val="Tahoma"/>
    </x:font>
    <x:font>
      <x:sz val="8"/>
      <x:color indexed="81"/>
      <x:name val="Tahoma"/>
    </x:font>
  </x:fonts>
  <x:fills count="7">
    <x:fill>
      <x:patternFill patternType="none"/>
    </x:fill>
    <x:fill>
      <x:patternFill patternType="gray125"/>
    </x:fill>
    <x:fill>
      <x:patternFill patternType="solid">
        <x:fgColor indexed="9"/>
      </x:patternFill>
    </x:fill>
    <x:fill>
      <x:patternFill patternType="solid">
        <x:fgColor indexed="18"/>
      </x:patternFill>
    </x:fill>
    <x:fill>
      <x:patternFill patternType="solid">
        <x:fgColor indexed="62"/>
      </x:patternFill>
    </x:fill>
    <x:fill>
      <x:patternFill patternType="solid">
        <x:fgColor indexed="27"/>
      </x:patternFill>
    </x:fill>
    <x:fill>
      <x:patternFill patternType="solid">
        <x:fgColor theme="6" tint="-0.24998"/>
      </x:patternFill>
    </x:fill>
  </x:fills>
  <x:borders count="35">
    <x:border/>
    <x:border>
      <x:left style="thin">
        <x:color indexed="8"/>
      </x:left>
      <x:right style="thin">
        <x:color indexed="8"/>
      </x:right>
      <x:top style="thin">
        <x:color indexed="8"/>
      </x:top>
      <x:bottom style="thin">
        <x:color indexed="8"/>
      </x:bottom>
    </x:border>
    <x:border>
      <x:right style="thin">
        <x:color indexed="8"/>
      </x:right>
      <x:top style="thin">
        <x:color indexed="8"/>
      </x:top>
      <x:bottom style="thin">
        <x:color indexed="8"/>
      </x:bottom>
    </x:border>
    <x:border>
      <x:left style="thin">
        <x:color indexed="8"/>
      </x:left>
      <x:right style="hair">
        <x:color indexed="8"/>
      </x:right>
      <x:top style="thin">
        <x:color indexed="8"/>
      </x:top>
      <x:bottom style="hair">
        <x:color indexed="8"/>
      </x:bottom>
    </x:border>
    <x:border>
      <x:left style="hair">
        <x:color indexed="8"/>
      </x:left>
      <x:right style="hair">
        <x:color indexed="8"/>
      </x:right>
      <x:top style="thin">
        <x:color indexed="8"/>
      </x:top>
      <x:bottom style="hair">
        <x:color indexed="8"/>
      </x:bottom>
    </x:border>
    <x:border>
      <x:left style="hair">
        <x:color indexed="8"/>
      </x:left>
      <x:right style="thin">
        <x:color indexed="8"/>
      </x:right>
      <x:top style="thin">
        <x:color indexed="8"/>
      </x:top>
      <x:bottom style="hair">
        <x:color indexed="8"/>
      </x:bottom>
    </x:border>
    <x:border>
      <x:left style="thin">
        <x:color indexed="8"/>
      </x:left>
      <x:right style="hair">
        <x:color indexed="8"/>
      </x:right>
      <x:top style="hair">
        <x:color indexed="8"/>
      </x:top>
      <x:bottom style="hair">
        <x:color indexed="8"/>
      </x:bottom>
    </x:border>
    <x:border>
      <x:left style="hair">
        <x:color indexed="8"/>
      </x:left>
      <x:right style="hair">
        <x:color indexed="8"/>
      </x:right>
      <x:top style="hair">
        <x:color indexed="8"/>
      </x:top>
      <x:bottom style="hair">
        <x:color indexed="8"/>
      </x:bottom>
    </x:border>
    <x:border>
      <x:left style="hair">
        <x:color indexed="8"/>
      </x:left>
      <x:right style="thin">
        <x:color indexed="8"/>
      </x:right>
      <x:top style="hair">
        <x:color indexed="8"/>
      </x:top>
      <x:bottom style="hair">
        <x:color indexed="8"/>
      </x:bottom>
    </x:border>
    <x:border>
      <x:left style="thin">
        <x:color indexed="8"/>
      </x:left>
      <x:right style="hair">
        <x:color indexed="8"/>
      </x:right>
      <x:top style="hair">
        <x:color indexed="8"/>
      </x:top>
      <x:bottom style="thin">
        <x:color indexed="8"/>
      </x:bottom>
    </x:border>
    <x:border>
      <x:left style="hair">
        <x:color indexed="8"/>
      </x:left>
      <x:right style="hair">
        <x:color indexed="8"/>
      </x:right>
      <x:top style="hair">
        <x:color indexed="8"/>
      </x:top>
      <x:bottom style="thin">
        <x:color indexed="8"/>
      </x:bottom>
    </x:border>
    <x:border>
      <x:left style="hair">
        <x:color indexed="8"/>
      </x:left>
      <x:right style="thin">
        <x:color indexed="8"/>
      </x:right>
      <x:top style="hair">
        <x:color indexed="8"/>
      </x:top>
      <x:bottom style="thin">
        <x:color indexed="8"/>
      </x:bottom>
    </x:border>
    <x:border>
      <x:left style="hair">
        <x:color indexed="8"/>
      </x:left>
      <x:top style="thin">
        <x:color indexed="8"/>
      </x:top>
      <x:bottom style="hair">
        <x:color indexed="8"/>
      </x:bottom>
    </x:border>
    <x:border>
      <x:left style="thin">
        <x:color indexed="8"/>
      </x:left>
      <x:top style="thin">
        <x:color indexed="8"/>
      </x:top>
      <x:bottom style="thin">
        <x:color indexed="8"/>
      </x:bottom>
    </x:border>
    <x:border>
      <x:top style="thin">
        <x:color indexed="8"/>
      </x:top>
      <x:bottom style="thin">
        <x:color indexed="8"/>
      </x:bottom>
    </x:border>
    <x:border>
      <x:right style="medium">
        <x:color indexed="8"/>
      </x:right>
    </x:border>
    <x:border>
      <x:right style="hair">
        <x:color indexed="8"/>
      </x:right>
      <x:top style="thin">
        <x:color indexed="8"/>
      </x:top>
      <x:bottom style="hair">
        <x:color indexed="8"/>
      </x:bottom>
    </x:border>
    <x:border>
      <x:left style="hair">
        <x:color indexed="8"/>
      </x:left>
      <x:right style="medium">
        <x:color indexed="8"/>
      </x:right>
      <x:top style="thin">
        <x:color indexed="8"/>
      </x:top>
      <x:bottom style="hair">
        <x:color indexed="8"/>
      </x:bottom>
    </x:border>
    <x:border>
      <x:right style="hair">
        <x:color indexed="8"/>
      </x:right>
      <x:top style="hair">
        <x:color indexed="8"/>
      </x:top>
      <x:bottom style="hair">
        <x:color indexed="8"/>
      </x:bottom>
    </x:border>
    <x:border>
      <x:left style="hair">
        <x:color indexed="8"/>
      </x:left>
      <x:top style="hair">
        <x:color indexed="8"/>
      </x:top>
      <x:bottom style="hair">
        <x:color indexed="8"/>
      </x:bottom>
    </x:border>
    <x:border>
      <x:left style="hair">
        <x:color indexed="8"/>
      </x:left>
      <x:right style="medium">
        <x:color indexed="8"/>
      </x:right>
      <x:top style="hair">
        <x:color indexed="8"/>
      </x:top>
      <x:bottom style="hair">
        <x:color indexed="8"/>
      </x:bottom>
    </x:border>
    <x:border>
      <x:right style="hair">
        <x:color indexed="8"/>
      </x:right>
      <x:top style="hair">
        <x:color indexed="8"/>
      </x:top>
      <x:bottom style="thin">
        <x:color indexed="8"/>
      </x:bottom>
    </x:border>
    <x:border>
      <x:left style="hair">
        <x:color indexed="8"/>
      </x:left>
      <x:right style="medium">
        <x:color indexed="8"/>
      </x:right>
      <x:top style="hair">
        <x:color indexed="8"/>
      </x:top>
      <x:bottom style="thin">
        <x:color indexed="8"/>
      </x:bottom>
    </x:border>
    <x:border>
      <x:left style="thin">
        <x:color indexed="8"/>
      </x:left>
      <x:bottom style="thin">
        <x:color indexed="8"/>
      </x:bottom>
    </x:border>
    <x:border>
      <x:bottom style="thin">
        <x:color indexed="8"/>
      </x:bottom>
    </x:border>
    <x:border>
      <x:right style="thin">
        <x:color indexed="8"/>
      </x:right>
      <x:bottom style="thin">
        <x:color indexed="8"/>
      </x:bottom>
    </x:border>
    <x:border>
      <x:left style="thin">
        <x:color indexed="64"/>
      </x:left>
      <x:right style="thin">
        <x:color indexed="64"/>
      </x:right>
      <x:top style="thin">
        <x:color indexed="64"/>
      </x:top>
      <x:bottom style="thin">
        <x:color indexed="64"/>
      </x:bottom>
    </x:border>
    <x:border>
      <x:left style="medium">
        <x:color indexed="64"/>
      </x:left>
      <x:right style="thin">
        <x:color indexed="64"/>
      </x:right>
      <x:top style="medium">
        <x:color indexed="64"/>
      </x:top>
      <x:bottom style="thin">
        <x:color indexed="64"/>
      </x:bottom>
    </x:border>
    <x:border>
      <x:left style="thin">
        <x:color indexed="64"/>
      </x:left>
      <x:right style="thin">
        <x:color indexed="64"/>
      </x:right>
      <x:top style="medium">
        <x:color indexed="64"/>
      </x:top>
      <x:bottom style="thin">
        <x:color indexed="64"/>
      </x:bottom>
    </x:border>
    <x:border>
      <x:left style="thin">
        <x:color indexed="64"/>
      </x:left>
      <x:right style="medium">
        <x:color indexed="64"/>
      </x:right>
      <x:top style="medium">
        <x:color indexed="64"/>
      </x:top>
      <x:bottom style="thin">
        <x:color indexed="64"/>
      </x:bottom>
    </x:border>
    <x:border>
      <x:left style="medium">
        <x:color indexed="64"/>
      </x:left>
      <x:right style="thin">
        <x:color indexed="64"/>
      </x:right>
      <x:top style="thin">
        <x:color indexed="64"/>
      </x:top>
      <x:bottom style="thin">
        <x:color indexed="64"/>
      </x:bottom>
    </x:border>
    <x:border>
      <x:left style="thin">
        <x:color indexed="64"/>
      </x:left>
      <x:right style="medium">
        <x:color indexed="64"/>
      </x:right>
      <x:top style="thin">
        <x:color indexed="64"/>
      </x:top>
      <x:bottom style="thin">
        <x:color indexed="64"/>
      </x:bottom>
    </x:border>
    <x:border>
      <x:left style="medium">
        <x:color indexed="64"/>
      </x:left>
      <x:right style="thin">
        <x:color indexed="64"/>
      </x:right>
      <x:top style="thin">
        <x:color indexed="64"/>
      </x:top>
      <x:bottom style="medium">
        <x:color indexed="64"/>
      </x:bottom>
    </x:border>
    <x:border>
      <x:left style="thin">
        <x:color indexed="64"/>
      </x:left>
      <x:right style="thin">
        <x:color indexed="64"/>
      </x:right>
      <x:top style="thin">
        <x:color indexed="64"/>
      </x:top>
      <x:bottom style="medium">
        <x:color indexed="64"/>
      </x:bottom>
    </x:border>
    <x:border>
      <x:left style="thin">
        <x:color indexed="64"/>
      </x:left>
      <x:right style="medium">
        <x:color indexed="64"/>
      </x:right>
      <x:top style="thin">
        <x:color indexed="64"/>
      </x:top>
      <x:bottom style="medium">
        <x:color indexed="64"/>
      </x:bottom>
    </x:border>
  </x:borders>
  <x:cellStyleXfs count="6">
    <x:xf numFmtId="0" fontId="0" fillId="0" borderId="0"/>
    <x:xf numFmtId="0" fontId="12" fillId="0" borderId="0" applyNumberFormat="0" applyFill="0" applyBorder="0" applyAlignment="0" applyProtection="0"/>
    <x:xf numFmtId="0" fontId="17" fillId="0" borderId="0"/>
    <x:xf numFmtId="0" fontId="17" fillId="0" borderId="0"/>
    <x:xf numFmtId="0" fontId="1" fillId="0" borderId="0"/>
    <x:xf numFmtId="0" fontId="20" fillId="0" borderId="0"/>
  </x:cellStyleXfs>
  <x:cellXfs count="184">
    <x:xf numFmtId="0" fontId="0" fillId="0" borderId="0" xfId="0"/>
    <x:xf numFmtId="0" fontId="2" fillId="2" borderId="0" xfId="0" applyFont="1" applyFill="1"/>
    <x:xf numFmtId="0" fontId="5" fillId="2" borderId="1" xfId="0" applyFont="1" applyFill="1" applyBorder="1" applyAlignment="1">
      <x:alignment horizontal="left" vertical="center"/>
    </x:xf>
    <x:xf numFmtId="1" fontId="2" fillId="2" borderId="0" xfId="0" applyNumberFormat="1" applyFont="1" applyFill="1"/>
    <x:xf numFmtId="0" fontId="2" fillId="2" borderId="0" xfId="0" applyFont="1" applyFill="1" applyAlignment="1">
      <x:alignment horizontal="left"/>
    </x:xf>
    <x:xf numFmtId="1" fontId="2" fillId="2" borderId="0" xfId="0" applyNumberFormat="1" applyFont="1" applyFill="1"/>
    <x:xf numFmtId="0" fontId="4" fillId="2" borderId="0" xfId="0" applyFont="1" applyFill="1" applyAlignment="1">
      <x:alignment horizontal="left"/>
    </x:xf>
    <x:xf numFmtId="0" fontId="8" fillId="2" borderId="0" xfId="0" applyFont="1" applyFill="1" applyAlignment="1">
      <x:alignment horizontal="left"/>
    </x:xf>
    <x:xf numFmtId="0" fontId="9" fillId="2" borderId="0" xfId="0" applyFont="1" applyFill="1" applyAlignment="1">
      <x:alignment horizontal="left"/>
    </x:xf>
    <x:xf numFmtId="0" fontId="2" fillId="2" borderId="0" xfId="0" applyFont="1" applyFill="1" applyAlignment="1">
      <x:alignment wrapText="1"/>
    </x:xf>
    <x:xf numFmtId="1" fontId="5" fillId="2" borderId="0" xfId="0" applyNumberFormat="1" applyFont="1" applyFill="1" applyBorder="1" applyAlignment="1"/>
    <x:xf numFmtId="0" fontId="2" fillId="2" borderId="0" xfId="0" applyFont="1" applyFill="1" applyBorder="1" applyAlignment="1"/>
    <x:xf numFmtId="0" fontId="2" fillId="2" borderId="0" xfId="0" applyFont="1" applyFill="1" applyAlignment="1">
      <x:alignment vertical="center"/>
    </x:xf>
    <x:xf numFmtId="1" fontId="2" fillId="2" borderId="0" xfId="0" applyNumberFormat="1" applyFont="1" applyFill="1" applyAlignment="1">
      <x:alignment vertical="center"/>
    </x:xf>
    <x:xf numFmtId="0" fontId="2" fillId="2" borderId="0" xfId="0" applyFont="1" applyFill="1" applyAlignment="1">
      <x:alignment horizontal="left" vertical="center"/>
    </x:xf>
    <x:xf numFmtId="0" fontId="10" fillId="2" borderId="0" xfId="0" applyFont="1" applyFill="1" applyAlignment="1">
      <x:alignment horizontal="center"/>
    </x:xf>
    <x:xf numFmtId="1" fontId="7" fillId="4" borderId="3" xfId="0" applyNumberFormat="1" applyFont="1" applyFill="1" applyBorder="1" applyAlignment="1">
      <x:alignment horizontal="center" vertical="center"/>
    </x:xf>
    <x:xf numFmtId="0" fontId="7" fillId="4" borderId="4" xfId="0" applyFont="1" applyFill="1" applyBorder="1" applyAlignment="1">
      <x:alignment horizontal="center" vertical="center"/>
    </x:xf>
    <x:xf numFmtId="0" fontId="7" fillId="4" borderId="12" xfId="0" applyFont="1" applyFill="1" applyBorder="1" applyAlignment="1">
      <x:alignment horizontal="center" vertical="center"/>
    </x:xf>
    <x:xf numFmtId="0" fontId="7" fillId="4" borderId="5" xfId="0" applyFont="1" applyFill="1" applyBorder="1" applyAlignment="1">
      <x:alignment horizontal="center" vertical="center"/>
    </x:xf>
    <x:xf numFmtId="1" fontId="2" fillId="2" borderId="6" xfId="0" applyNumberFormat="1" applyFont="1" applyFill="1" applyBorder="1" applyAlignment="1">
      <x:alignment vertical="center"/>
    </x:xf>
    <x:xf numFmtId="49" fontId="2" fillId="2" borderId="7" xfId="0" applyNumberFormat="1" applyFont="1" applyFill="1" applyBorder="1" applyAlignment="1">
      <x:alignment horizontal="left" vertical="center"/>
    </x:xf>
    <x:xf numFmtId="0" fontId="11" fillId="2" borderId="7" xfId="1" applyNumberFormat="1" applyFont="1" applyFill="1" applyBorder="1" applyAlignment="1">
      <x:alignment horizontal="left" vertical="center"/>
    </x:xf>
    <x:xf numFmtId="0" fontId="2" fillId="2" borderId="8" xfId="0" applyFont="1" applyFill="1" applyBorder="1" applyAlignment="1">
      <x:alignment horizontal="left" vertical="center"/>
    </x:xf>
    <x:xf numFmtId="0" fontId="2" fillId="2" borderId="7" xfId="0" applyFont="1" applyFill="1" applyBorder="1" applyAlignment="1">
      <x:alignment horizontal="left" vertical="center"/>
    </x:xf>
    <x:xf numFmtId="1" fontId="2" fillId="2" borderId="9" xfId="0" applyNumberFormat="1" applyFont="1" applyFill="1" applyBorder="1" applyAlignment="1">
      <x:alignment vertical="center"/>
    </x:xf>
    <x:xf numFmtId="49" fontId="2" fillId="2" borderId="10" xfId="0" applyNumberFormat="1" applyFont="1" applyFill="1" applyBorder="1" applyAlignment="1">
      <x:alignment horizontal="left" vertical="center"/>
    </x:xf>
    <x:xf numFmtId="0" fontId="2" fillId="2" borderId="10" xfId="0" applyFont="1" applyFill="1" applyBorder="1" applyAlignment="1">
      <x:alignment horizontal="left" vertical="center"/>
    </x:xf>
    <x:xf numFmtId="0" fontId="2" fillId="2" borderId="11" xfId="0" applyFont="1" applyFill="1" applyBorder="1" applyAlignment="1">
      <x:alignment horizontal="left" vertical="center"/>
    </x:xf>
    <x:xf numFmtId="0" fontId="2" fillId="2" borderId="0" xfId="0" applyFont="1" applyFill="1" applyAlignment="1"/>
    <x:xf numFmtId="0" fontId="13" fillId="2" borderId="0" xfId="0" applyFont="1" applyFill="1"/>
    <x:xf numFmtId="0" fontId="13" fillId="2" borderId="0" xfId="0" applyFont="1" applyFill="1" applyAlignment="1">
      <x:alignment wrapText="1"/>
    </x:xf>
    <x:xf numFmtId="0" fontId="14" fillId="2" borderId="0" xfId="0" applyFont="1" applyFill="1" applyAlignment="1"/>
    <x:xf numFmtId="0" fontId="2" fillId="2" borderId="0" xfId="0" applyFont="1" applyFill="1" applyAlignment="1">
      <x:alignment wrapText="1"/>
    </x:xf>
    <x:xf numFmtId="0" fontId="2" fillId="2" borderId="0" xfId="0" applyFont="1" applyFill="1" applyBorder="1" applyAlignment="1">
      <x:alignment horizontal="center" wrapText="1"/>
    </x:xf>
    <x:xf numFmtId="0" fontId="13" fillId="2" borderId="0" xfId="0" applyFont="1" applyFill="1" applyBorder="1" applyAlignment="1">
      <x:alignment horizontal="center" wrapText="1"/>
    </x:xf>
    <x:xf numFmtId="0" fontId="14" fillId="2" borderId="0" xfId="0" applyFont="1" applyFill="1" applyBorder="1" applyAlignment="1">
      <x:alignment horizontal="center" wrapText="1"/>
    </x:xf>
    <x:xf numFmtId="0" fontId="9" fillId="2" borderId="0" xfId="3" applyFont="1" applyFill="1" applyBorder="1" applyAlignment="1">
      <x:alignment horizontal="center" vertical="center" wrapText="1"/>
    </x:xf>
    <x:xf numFmtId="0" fontId="10" fillId="5" borderId="13" xfId="3" applyFont="1" applyFill="1" applyBorder="1" applyAlignment="1">
      <x:alignment horizontal="left" vertical="center"/>
    </x:xf>
    <x:xf numFmtId="0" fontId="10" fillId="5" borderId="14" xfId="3" applyFont="1" applyFill="1" applyBorder="1" applyAlignment="1">
      <x:alignment horizontal="left" vertical="center"/>
    </x:xf>
    <x:xf numFmtId="0" fontId="10" fillId="5" borderId="2" xfId="3" applyFont="1" applyFill="1" applyBorder="1" applyAlignment="1">
      <x:alignment horizontal="left" vertical="center"/>
    </x:xf>
    <x:xf numFmtId="0" fontId="9" fillId="2" borderId="0" xfId="3" applyFont="1" applyFill="1" applyBorder="1" applyAlignment="1">
      <x:alignment horizontal="left" vertical="center"/>
    </x:xf>
    <x:xf numFmtId="0" fontId="2" fillId="2" borderId="1" xfId="3" applyFont="1" applyFill="1" applyBorder="1" applyAlignment="1">
      <x:alignment vertical="top" wrapText="1"/>
    </x:xf>
    <x:xf numFmtId="0" fontId="6" fillId="2" borderId="1" xfId="3" applyFont="1" applyFill="1" applyBorder="1" applyAlignment="1">
      <x:alignment vertical="top" wrapText="1"/>
    </x:xf>
    <x:xf numFmtId="0" fontId="6" fillId="2" borderId="1" xfId="0" applyFont="1" applyFill="1" applyBorder="1" applyAlignment="1">
      <x:alignment horizontal="left" vertical="top" wrapText="1"/>
    </x:xf>
    <x:xf numFmtId="0" fontId="2" fillId="2" borderId="1" xfId="0" applyFont="1" applyFill="1" applyBorder="1" applyAlignment="1">
      <x:alignment vertical="top" wrapText="1"/>
    </x:xf>
    <x:xf numFmtId="0" fontId="13" fillId="2" borderId="0" xfId="0" applyFont="1" applyFill="1" applyBorder="1" applyAlignment="1">
      <x:alignment vertical="top" wrapText="1"/>
    </x:xf>
    <x:xf numFmtId="0" fontId="14" fillId="2" borderId="0" xfId="0" applyFont="1" applyFill="1" applyAlignment="1">
      <x:alignment vertical="top"/>
    </x:xf>
    <x:xf numFmtId="0" fontId="14" fillId="2" borderId="1" xfId="0" applyFont="1" applyFill="1" applyBorder="1" applyAlignment="1">
      <x:alignment horizontal="left" vertical="top" wrapText="1"/>
    </x:xf>
    <x:xf numFmtId="0" fontId="2" fillId="2" borderId="1" xfId="0" applyFont="1" applyFill="1" applyBorder="1" applyAlignment="1"/>
    <x:xf numFmtId="0" fontId="2" fillId="2" borderId="1" xfId="0" applyFont="1" applyFill="1" applyBorder="1"/>
    <x:xf numFmtId="0" fontId="13" fillId="2" borderId="0" xfId="0" applyFont="1" applyFill="1" applyBorder="1"/>
    <x:xf numFmtId="0" fontId="10" fillId="2" borderId="0" xfId="2" applyFont="1" applyFill="1" applyBorder="1"/>
    <x:xf numFmtId="0" fontId="2" fillId="2" borderId="0" xfId="2" applyFont="1" applyFill="1" applyBorder="1"/>
    <x:xf numFmtId="164" fontId="2" fillId="2" borderId="0" xfId="2" applyNumberFormat="1" applyFont="1" applyFill="1" applyBorder="1"/>
    <x:xf numFmtId="0" fontId="5" fillId="2" borderId="2" xfId="0" applyFont="1" applyFill="1" applyBorder="1" applyAlignment="1">
      <x:alignment horizontal="left"/>
    </x:xf>
    <x:xf numFmtId="0" fontId="2" fillId="2" borderId="2" xfId="0" applyFont="1" applyFill="1" applyBorder="1" applyAlignment="1">
      <x:alignment vertical="top"/>
    </x:xf>
    <x:xf numFmtId="0" fontId="5" fillId="2" borderId="1" xfId="0" applyFont="1" applyFill="1" applyBorder="1" applyAlignment="1">
      <x:alignment vertical="center"/>
    </x:xf>
    <x:xf numFmtId="0" fontId="6" fillId="2" borderId="2" xfId="0" applyFont="1" applyFill="1" applyBorder="1" applyAlignment="1">
      <x:alignment vertical="top"/>
    </x:xf>
    <x:xf numFmtId="0" fontId="5" fillId="2" borderId="0" xfId="0" applyFont="1" applyFill="1"/>
    <x:xf numFmtId="0" fontId="6" fillId="2" borderId="0" xfId="2" applyFont="1" applyFill="1" applyBorder="1"/>
    <x:xf numFmtId="0" fontId="2" fillId="2" borderId="0" xfId="0" applyFont="1" applyFill="1" applyBorder="1"/>
    <x:xf numFmtId="0" fontId="2" fillId="2" borderId="15" xfId="0" applyFont="1" applyFill="1" applyBorder="1" applyAlignment="1"/>
    <x:xf numFmtId="0" fontId="7" fillId="3" borderId="16" xfId="0" applyNumberFormat="1" applyFont="1" applyFill="1" applyBorder="1" applyAlignment="1">
      <x:alignment horizontal="center"/>
    </x:xf>
    <x:xf numFmtId="0" fontId="7" fillId="3" borderId="4" xfId="0" applyNumberFormat="1" applyFont="1" applyFill="1" applyBorder="1" applyAlignment="1">
      <x:alignment horizontal="center"/>
    </x:xf>
    <x:xf numFmtId="0" fontId="7" fillId="3" borderId="4" xfId="0" applyNumberFormat="1" applyFont="1" applyFill="1" applyBorder="1" applyAlignment="1">
      <x:alignment horizontal="center" wrapText="1"/>
    </x:xf>
    <x:xf numFmtId="0" fontId="7" fillId="3" borderId="12" xfId="0" applyNumberFormat="1" applyFont="1" applyFill="1" applyBorder="1" applyAlignment="1">
      <x:alignment horizontal="center"/>
    </x:xf>
    <x:xf numFmtId="0" fontId="7" fillId="3" borderId="17" xfId="0" applyNumberFormat="1" applyFont="1" applyFill="1" applyBorder="1" applyAlignment="1">
      <x:alignment horizontal="center" wrapText="1"/>
    </x:xf>
    <x:xf numFmtId="0" fontId="2" fillId="2" borderId="15" xfId="0" applyFont="1" applyFill="1" applyBorder="1"/>
    <x:xf numFmtId="0" fontId="2" fillId="2" borderId="18" xfId="0" applyNumberFormat="1" applyFont="1" applyFill="1" applyBorder="1" applyAlignment="1">
      <x:alignment horizontal="center"/>
    </x:xf>
    <x:xf numFmtId="0" fontId="2" fillId="2" borderId="7" xfId="0" applyNumberFormat="1" applyFont="1" applyFill="1" applyBorder="1"/>
    <x:xf numFmtId="0" fontId="2" fillId="2" borderId="7" xfId="0" applyNumberFormat="1" applyFont="1" applyFill="1" applyBorder="1" applyAlignment="1">
      <x:alignment horizontal="center"/>
    </x:xf>
    <x:xf numFmtId="0" fontId="2" fillId="2" borderId="19" xfId="0" applyNumberFormat="1" applyFont="1" applyFill="1" applyBorder="1" applyAlignment="1">
      <x:alignment horizontal="center"/>
    </x:xf>
    <x:xf numFmtId="0" fontId="2" fillId="2" borderId="20" xfId="0" applyNumberFormat="1" applyFont="1" applyFill="1" applyBorder="1" applyAlignment="1">
      <x:alignment horizontal="center"/>
    </x:xf>
    <x:xf numFmtId="0" fontId="15" fillId="3" borderId="21" xfId="0" applyNumberFormat="1" applyFont="1" applyFill="1" applyBorder="1" applyAlignment="1">
      <x:alignment horizontal="center"/>
    </x:xf>
    <x:xf numFmtId="0" fontId="7" fillId="3" borderId="10" xfId="0" applyFont="1" applyFill="1" applyBorder="1"/>
    <x:xf numFmtId="0" fontId="15" fillId="3" borderId="10" xfId="0" applyFont="1" applyFill="1" applyBorder="1" applyAlignment="1">
      <x:alignment horizontal="center"/>
    </x:xf>
    <x:xf numFmtId="0" fontId="15" fillId="3" borderId="22" xfId="0" applyFont="1" applyFill="1" applyBorder="1" applyAlignment="1">
      <x:alignment horizontal="center"/>
    </x:xf>
    <x:xf numFmtId="0" fontId="2" fillId="2" borderId="0" xfId="0" applyFont="1" applyFill="1" applyBorder="1" applyAlignment="1">
      <x:alignment horizontal="center"/>
    </x:xf>
    <x:xf numFmtId="10" fontId="2" fillId="2" borderId="0" xfId="0" applyNumberFormat="1" applyFont="1" applyFill="1" applyBorder="1" applyAlignment="1">
      <x:alignment horizontal="center"/>
    </x:xf>
    <x:xf numFmtId="9" fontId="2" fillId="2" borderId="0" xfId="0" applyNumberFormat="1" applyFont="1" applyFill="1" applyBorder="1" applyAlignment="1">
      <x:alignment horizontal="center"/>
    </x:xf>
    <x:xf numFmtId="0" fontId="5" fillId="2" borderId="0" xfId="0" applyFont="1" applyFill="1" applyBorder="1" applyAlignment="1">
      <x:alignment horizontal="left"/>
    </x:xf>
    <x:xf numFmtId="2" fontId="16" fillId="2" borderId="0" xfId="0" applyNumberFormat="1" applyFont="1" applyFill="1" applyBorder="1" applyAlignment="1">
      <x:alignment horizontal="right" wrapText="1"/>
    </x:xf>
    <x:xf numFmtId="0" fontId="6" fillId="2" borderId="0" xfId="3" applyFont="1" applyFill="1" applyBorder="1" applyAlignment="1">
      <x:alignment horizontal="left" wrapText="1"/>
    </x:xf>
    <x:xf numFmtId="0" fontId="8" fillId="2" borderId="0" xfId="0" applyFont="1" applyFill="1" applyBorder="1" applyAlignment="1">
      <x:alignment horizontal="center" vertical="center" wrapText="1"/>
    </x:xf>
    <x:xf numFmtId="0" fontId="14" fillId="2" borderId="0" xfId="0" applyFont="1" applyFill="1" applyBorder="1" applyAlignment="1">
      <x:alignment horizontal="center" vertical="center" wrapText="1"/>
    </x:xf>
    <x:xf numFmtId="0" fontId="10" fillId="5" borderId="23" xfId="3" applyFont="1" applyFill="1" applyBorder="1" applyAlignment="1">
      <x:alignment horizontal="left" vertical="center"/>
    </x:xf>
    <x:xf numFmtId="0" fontId="10" fillId="5" borderId="24" xfId="3" applyFont="1" applyFill="1" applyBorder="1" applyAlignment="1">
      <x:alignment horizontal="left" vertical="center"/>
    </x:xf>
    <x:xf numFmtId="0" fontId="10" fillId="5" borderId="25" xfId="3" applyFont="1" applyFill="1" applyBorder="1" applyAlignment="1">
      <x:alignment horizontal="left" vertical="center"/>
    </x:xf>
    <x:xf numFmtId="0" fontId="6" fillId="2" borderId="0" xfId="3" applyFont="1" applyFill="1" applyBorder="1" applyAlignment="1">
      <x:alignment wrapText="1"/>
    </x:xf>
    <x:xf numFmtId="0" fontId="7" fillId="6" borderId="26" xfId="3" applyFont="1" applyFill="1" applyBorder="1" applyAlignment="1">
      <x:alignment horizontal="center" vertical="center" wrapText="1"/>
    </x:xf>
    <x:xf numFmtId="0" fontId="18" fillId="2" borderId="26" xfId="3" applyFont="1" applyFill="1" applyBorder="1" applyAlignment="1">
      <x:alignment horizontal="center" vertical="top" wrapText="1"/>
    </x:xf>
    <x:xf numFmtId="0" fontId="2" fillId="2" borderId="26" xfId="3" applyFont="1" applyFill="1" applyBorder="1" applyAlignment="1">
      <x:alignment horizontal="center" vertical="top" wrapText="1"/>
    </x:xf>
    <x:xf numFmtId="0" fontId="18" fillId="2" borderId="30" xfId="3" applyFont="1" applyFill="1" applyBorder="1" applyAlignment="1">
      <x:alignment horizontal="center" vertical="top" wrapText="1"/>
    </x:xf>
    <x:xf numFmtId="0" fontId="18" fillId="2" borderId="31" xfId="3" applyFont="1" applyFill="1" applyBorder="1" applyAlignment="1">
      <x:alignment horizontal="center" vertical="top" wrapText="1"/>
    </x:xf>
    <x:xf numFmtId="0" fontId="18" fillId="2" borderId="32" xfId="3" applyFont="1" applyFill="1" applyBorder="1" applyAlignment="1">
      <x:alignment horizontal="center" vertical="top" wrapText="1"/>
    </x:xf>
    <x:xf numFmtId="0" fontId="2" fillId="2" borderId="33" xfId="3" applyFont="1" applyFill="1" applyBorder="1" applyAlignment="1">
      <x:alignment horizontal="center" vertical="top" wrapText="1"/>
    </x:xf>
    <x:xf numFmtId="0" fontId="2" fillId="2" borderId="34" xfId="3" applyFont="1" applyFill="1" applyBorder="1" applyAlignment="1">
      <x:alignment horizontal="center" vertical="top" wrapText="1"/>
    </x:xf>
    <x:xf numFmtId="0" fontId="2" fillId="2" borderId="31" xfId="3" applyFont="1" applyFill="1" applyBorder="1" applyAlignment="1">
      <x:alignment horizontal="center" vertical="top" wrapText="1"/>
    </x:xf>
    <x:xf numFmtId="0" fontId="10" fillId="2" borderId="27" xfId="3" applyFont="1" applyFill="1" applyBorder="1" applyAlignment="1">
      <x:alignment horizontal="center" vertical="top" wrapText="1"/>
    </x:xf>
    <x:xf numFmtId="0" fontId="10" fillId="2" borderId="30" xfId="3" applyFont="1" applyFill="1" applyBorder="1" applyAlignment="1">
      <x:alignment horizontal="center" vertical="top" wrapText="1"/>
    </x:xf>
    <x:xf numFmtId="0" fontId="12" fillId="2" borderId="7" xfId="1" applyNumberFormat="1" applyFill="1" applyBorder="1" applyAlignment="1">
      <x:alignment horizontal="left" vertical="center"/>
    </x:xf>
    <x:xf numFmtId="1" fontId="5" fillId="2" borderId="1" xfId="0" applyNumberFormat="1" applyFont="1" applyFill="1" applyBorder="1" applyAlignment="1">
      <x:alignment vertical="center" wrapText="1"/>
    </x:xf>
    <x:xf numFmtId="0" fontId="6" fillId="2" borderId="1" xfId="0" applyFont="1" applyFill="1" applyBorder="1" applyAlignment="1">
      <x:alignment vertical="top" wrapText="1"/>
    </x:xf>
    <x:xf numFmtId="1" fontId="5" fillId="2" borderId="13" xfId="0" applyNumberFormat="1" applyFont="1" applyFill="1" applyBorder="1" applyAlignment="1"/>
    <x:xf numFmtId="0" fontId="6" fillId="2" borderId="1" xfId="0" applyFont="1" applyFill="1" applyBorder="1" applyAlignment="1">
      <x:alignment horizontal="left"/>
    </x:xf>
    <x:xf numFmtId="0" fontId="5" fillId="2" borderId="1" xfId="0" applyFont="1" applyFill="1" applyBorder="1" applyAlignment="1">
      <x:alignment horizontal="left"/>
    </x:xf>
    <x:xf numFmtId="0" fontId="6" fillId="2" borderId="1" xfId="2" applyFont="1" applyFill="1" applyBorder="1" applyAlignment="1">
      <x:alignment vertical="top"/>
    </x:xf>
    <x:xf numFmtId="0" fontId="4" fillId="2" borderId="0" xfId="2" applyFont="1" applyFill="1" applyBorder="1" applyAlignment="1">
      <x:alignment horizontal="center"/>
    </x:xf>
    <x:xf numFmtId="0" fontId="2" fillId="2" borderId="28" xfId="3" applyFont="1" applyFill="1" applyBorder="1" applyAlignment="1">
      <x:alignment horizontal="left" vertical="top" wrapText="1"/>
    </x:xf>
    <x:xf numFmtId="0" fontId="2" fillId="2" borderId="29" xfId="3" applyFont="1" applyFill="1" applyBorder="1" applyAlignment="1">
      <x:alignment horizontal="left" vertical="top" wrapText="1"/>
    </x:xf>
    <x:xf numFmtId="0" fontId="2" fillId="2" borderId="26" xfId="3" applyFont="1" applyFill="1" applyBorder="1" applyAlignment="1">
      <x:alignment horizontal="left" vertical="top" wrapText="1"/>
    </x:xf>
    <x:xf numFmtId="0" fontId="2" fillId="2" borderId="31" xfId="3" applyFont="1" applyFill="1" applyBorder="1" applyAlignment="1">
      <x:alignment horizontal="left" vertical="top" wrapText="1"/>
    </x:xf>
    <x:xf numFmtId="0" fontId="3" fillId="0" borderId="13" xfId="5" applyFont="1" applyBorder="1" applyAlignment="1">
      <x:alignment horizontal="center" vertical="center"/>
    </x:xf>
    <x:xf numFmtId="0" fontId="4" fillId="0" borderId="1" xfId="5" applyFont="1" applyBorder="1" applyAlignment="1">
      <x:alignment horizontal="center" vertical="center"/>
    </x:xf>
    <x:xf numFmtId="0" fontId="2" fillId="0" borderId="0" xfId="5" applyFont="1" applyAlignment="1">
      <x:alignment horizontal="center" vertical="center"/>
    </x:xf>
    <x:xf numFmtId="0" fontId="5" fillId="2" borderId="0" xfId="5" applyFont="1" applyFill="1" applyAlignment="1">
      <x:alignment horizontal="left"/>
    </x:xf>
    <x:xf numFmtId="0" fontId="6" fillId="0" borderId="0" xfId="5" applyFont="1" applyAlignment="1">
      <x:alignment horizontal="left"/>
    </x:xf>
    <x:xf numFmtId="0" fontId="2" fillId="0" borderId="0" xfId="5" applyFont="1"/>
    <x:xf numFmtId="0" fontId="2" fillId="2" borderId="0" xfId="5" applyFont="1" applyFill="1"/>
    <x:xf numFmtId="0" fontId="10" fillId="2" borderId="1" xfId="5" applyFont="1" applyFill="1" applyBorder="1" applyAlignment="1">
      <x:alignment horizontal="left"/>
    </x:xf>
    <x:xf numFmtId="0" fontId="21" fillId="0" borderId="1" xfId="5" applyFont="1" applyBorder="1" applyAlignment="1">
      <x:alignment horizontal="left"/>
    </x:xf>
    <x:xf numFmtId="0" fontId="2" fillId="0" borderId="2" xfId="5" applyFont="1" applyBorder="1"/>
    <x:xf numFmtId="0" fontId="21" fillId="0" borderId="2" xfId="5" applyFont="1" applyBorder="1"/>
    <x:xf numFmtId="0" fontId="10" fillId="2" borderId="1" xfId="5" applyFont="1" applyFill="1" applyBorder="1" applyAlignment="1">
      <x:alignment vertical="center"/>
    </x:xf>
    <x:xf numFmtId="0" fontId="21" fillId="0" borderId="13" xfId="5" applyFont="1" applyBorder="1" applyAlignment="1">
      <x:alignment horizontal="left" vertical="center"/>
    </x:xf>
    <x:xf numFmtId="0" fontId="21" fillId="0" borderId="14" xfId="5" applyFont="1" applyBorder="1" applyAlignment="1">
      <x:alignment horizontal="left" vertical="center"/>
    </x:xf>
    <x:xf numFmtId="0" fontId="21" fillId="0" borderId="2" xfId="5" applyFont="1" applyBorder="1" applyAlignment="1">
      <x:alignment horizontal="left" vertical="center"/>
    </x:xf>
    <x:xf numFmtId="0" fontId="21" fillId="0" borderId="2" xfId="5" applyFont="1" applyBorder="1" applyAlignment="1">
      <x:alignment horizontal="left"/>
    </x:xf>
    <x:xf numFmtId="0" fontId="10" fillId="0" borderId="0" xfId="5" applyFont="1"/>
    <x:xf numFmtId="0" fontId="6" fillId="0" borderId="0" xfId="5" applyFont="1" applyAlignment="1">
      <x:alignment horizontal="left"/>
    </x:xf>
    <x:xf numFmtId="0" fontId="5" fillId="0" borderId="0" xfId="5" applyFont="1" applyAlignment="1">
      <x:alignment horizontal="left"/>
    </x:xf>
    <x:xf numFmtId="0" fontId="10" fillId="0" borderId="0" xfId="5" applyFont="1" applyAlignment="1">
      <x:alignment horizontal="left"/>
    </x:xf>
    <x:xf numFmtId="164" fontId="7" fillId="3" borderId="3" xfId="5" applyNumberFormat="1" applyFont="1" applyFill="1" applyBorder="1" applyAlignment="1">
      <x:alignment horizontal="center" vertical="center"/>
    </x:xf>
    <x:xf numFmtId="0" fontId="7" fillId="3" borderId="4" xfId="5" applyFont="1" applyFill="1" applyBorder="1" applyAlignment="1">
      <x:alignment horizontal="center" vertical="center"/>
    </x:xf>
    <x:xf numFmtId="0" fontId="7" fillId="3" borderId="5" xfId="5" applyFont="1" applyFill="1" applyBorder="1" applyAlignment="1">
      <x:alignment horizontal="center" vertical="center"/>
    </x:xf>
    <x:xf numFmtId="0" fontId="2" fillId="0" borderId="0" xfId="5" applyFont="1" applyAlignment="1">
      <x:alignment vertical="center"/>
    </x:xf>
    <x:xf numFmtId="0" fontId="21" fillId="0" borderId="6" xfId="5" applyFont="1" applyBorder="1" applyAlignment="1">
      <x:alignment vertical="top" wrapText="1"/>
    </x:xf>
    <x:xf numFmtId="49" fontId="2" fillId="0" borderId="7" xfId="5" applyNumberFormat="1" applyFont="1" applyBorder="1" applyAlignment="1">
      <x:alignment vertical="top"/>
    </x:xf>
    <x:xf numFmtId="0" fontId="2" fillId="0" borderId="7" xfId="5" applyFont="1" applyBorder="1" applyAlignment="1">
      <x:alignment vertical="top"/>
    </x:xf>
    <x:xf numFmtId="15" fontId="2" fillId="0" borderId="7" xfId="5" applyNumberFormat="1" applyFont="1" applyBorder="1" applyAlignment="1">
      <x:alignment vertical="top"/>
    </x:xf>
    <x:xf numFmtId="0" fontId="21" fillId="0" borderId="8" xfId="5" applyFont="1" applyBorder="1" applyAlignment="1">
      <x:alignment vertical="top" wrapText="1"/>
    </x:xf>
    <x:xf numFmtId="0" fontId="2" fillId="0" borderId="0" xfId="5" applyFont="1" applyAlignment="1">
      <x:alignment vertical="top"/>
    </x:xf>
    <x:xf numFmtId="164" fontId="2" fillId="0" borderId="6" xfId="5" applyNumberFormat="1" applyFont="1" applyBorder="1" applyAlignment="1">
      <x:alignment vertical="top"/>
    </x:xf>
    <x:xf numFmtId="0" fontId="2" fillId="0" borderId="8" xfId="5" applyFont="1" applyBorder="1" applyAlignment="1">
      <x:alignment vertical="top"/>
    </x:xf>
    <x:xf numFmtId="164" fontId="2" fillId="0" borderId="9" xfId="5" applyNumberFormat="1" applyFont="1" applyBorder="1" applyAlignment="1">
      <x:alignment vertical="top"/>
    </x:xf>
    <x:xf numFmtId="49" fontId="2" fillId="0" borderId="10" xfId="5" applyNumberFormat="1" applyFont="1" applyBorder="1" applyAlignment="1">
      <x:alignment vertical="top"/>
    </x:xf>
    <x:xf numFmtId="0" fontId="2" fillId="0" borderId="10" xfId="5" applyFont="1" applyBorder="1" applyAlignment="1">
      <x:alignment vertical="top"/>
    </x:xf>
    <x:xf numFmtId="0" fontId="2" fillId="0" borderId="11" xfId="5" applyFont="1" applyBorder="1" applyAlignment="1">
      <x:alignment vertical="top"/>
    </x:xf>
    <x:xf numFmtId="0" fontId="2" fillId="0" borderId="0" xfId="5" applyFont="1" applyAlignment="1">
      <x:alignment horizontal="left"/>
    </x:xf>
    <x:xf numFmtId="0" fontId="2" fillId="0" borderId="7" xfId="0" applyNumberFormat="1" applyFont="1" applyFill="1" applyBorder="1" applyAlignment="1">
      <x:alignment vertical="top" wrapText="1"/>
    </x:xf>
    <x:xf numFmtId="15" fontId="2" fillId="0" borderId="7" xfId="0" applyNumberFormat="1" applyFont="1" applyFill="1" applyBorder="1" applyAlignment="1">
      <x:alignment vertical="top" wrapText="1"/>
    </x:xf>
    <x:xf numFmtId="0" fontId="21" fillId="0" borderId="8" xfId="0" applyNumberFormat="1" applyFont="1" applyFill="1" applyBorder="1" applyAlignment="1">
      <x:alignment vertical="top" wrapText="1"/>
    </x:xf>
    <x:xf numFmtId="0" fontId="2" fillId="0" borderId="8" xfId="0" applyNumberFormat="1" applyFont="1" applyFill="1" applyBorder="1" applyAlignment="1">
      <x:alignment vertical="top" wrapText="1"/>
    </x:xf>
    <x:xf numFmtId="0" fontId="2" fillId="0" borderId="10" xfId="0" applyNumberFormat="1" applyFont="1" applyFill="1" applyBorder="1" applyAlignment="1">
      <x:alignment vertical="top" wrapText="1"/>
    </x:xf>
    <x:xf numFmtId="0" fontId="2" fillId="0" borderId="11" xfId="0" applyNumberFormat="1" applyFont="1" applyFill="1" applyBorder="1" applyAlignment="1">
      <x:alignment vertical="top" wrapText="1"/>
    </x:xf>
    <x:xf numFmtId="0" fontId="0" fillId="0" borderId="0" xfId="0" applyNumberFormat="1" applyFont="1" applyFill="1" applyBorder="1" applyAlignment="1">
      <x:alignment wrapText="1"/>
    </x:xf>
    <x:xf numFmtId="0" fontId="6" fillId="2" borderId="1" xfId="0" applyNumberFormat="1" applyFont="1" applyFill="1" applyBorder="1" applyAlignment="1">
      <x:alignment vertical="top" wrapText="1"/>
    </x:xf>
    <x:xf numFmtId="49" fontId="2" fillId="2" borderId="7" xfId="0" applyNumberFormat="1" applyFont="1" applyFill="1" applyBorder="1" applyAlignment="1">
      <x:alignment horizontal="left" vertical="center" wrapText="1"/>
    </x:xf>
    <x:xf numFmtId="0" fontId="12" fillId="2" borderId="7" xfId="0" applyNumberFormat="1" applyFont="1" applyFill="1" applyBorder="1" applyAlignment="1">
      <x:alignment horizontal="left" vertical="center" wrapText="1"/>
    </x:xf>
    <x:xf numFmtId="0" fontId="11" fillId="2" borderId="7" xfId="0" applyNumberFormat="1" applyFont="1" applyFill="1" applyBorder="1" applyAlignment="1">
      <x:alignment horizontal="left" vertical="center" wrapText="1"/>
    </x:xf>
    <x:xf numFmtId="0" fontId="2" fillId="2" borderId="8" xfId="0" applyNumberFormat="1" applyFont="1" applyFill="1" applyBorder="1" applyAlignment="1">
      <x:alignment horizontal="left" vertical="center" wrapText="1"/>
    </x:xf>
    <x:xf numFmtId="0" fontId="2" fillId="2" borderId="7" xfId="0" applyNumberFormat="1" applyFont="1" applyFill="1" applyBorder="1" applyAlignment="1">
      <x:alignment horizontal="left" vertical="center" wrapText="1"/>
    </x:xf>
    <x:xf numFmtId="49" fontId="2" fillId="2" borderId="10" xfId="0" applyNumberFormat="1" applyFont="1" applyFill="1" applyBorder="1" applyAlignment="1">
      <x:alignment horizontal="left" vertical="center" wrapText="1"/>
    </x:xf>
    <x:xf numFmtId="0" fontId="2" fillId="2" borderId="10" xfId="0" applyNumberFormat="1" applyFont="1" applyFill="1" applyBorder="1" applyAlignment="1">
      <x:alignment horizontal="left" vertical="center" wrapText="1"/>
    </x:xf>
    <x:xf numFmtId="0" fontId="2" fillId="2" borderId="11" xfId="0" applyNumberFormat="1" applyFont="1" applyFill="1" applyBorder="1" applyAlignment="1">
      <x:alignment horizontal="left" vertical="center" wrapText="1"/>
    </x:xf>
    <x:xf numFmtId="0" fontId="2" fillId="2" borderId="7" xfId="0" applyNumberFormat="1" applyFont="1" applyFill="1" applyBorder="1" applyAlignment="1">
      <x:alignment wrapText="1"/>
    </x:xf>
    <x:xf numFmtId="0" fontId="2" fillId="2" borderId="28" xfId="0" applyNumberFormat="1" applyFont="1" applyFill="1" applyBorder="1" applyAlignment="1">
      <x:alignment horizontal="left" vertical="top" wrapText="1"/>
    </x:xf>
    <x:xf numFmtId="0" fontId="2" fillId="2" borderId="26" xfId="0" applyNumberFormat="1" applyFont="1" applyFill="1" applyBorder="1" applyAlignment="1">
      <x:alignment horizontal="left" vertical="top" wrapText="1"/>
    </x:xf>
    <x:xf numFmtId="200" fontId="2" fillId="2" borderId="1" xfId="0" applyNumberFormat="1" applyFont="1" applyFill="1" applyBorder="1" applyAlignment="1">
      <x:alignment vertical="top" wrapText="1"/>
    </x:xf>
    <x:xf numFmtId="200" fontId="10" fillId="5" borderId="14" xfId="0" applyNumberFormat="1" applyFont="1" applyFill="1" applyBorder="1" applyAlignment="1">
      <x:alignment horizontal="left" vertical="center"/>
    </x:xf>
    <x:xf numFmtId="0" fontId="2" fillId="2" borderId="1" xfId="0" applyNumberFormat="1" applyFont="1" applyFill="1" applyBorder="1" applyAlignment="1">
      <x:alignment vertical="top" wrapText="1"/>
    </x:xf>
    <x:xf numFmtId="0" fontId="6" fillId="2" borderId="1" xfId="0" applyNumberFormat="1" applyFont="1" applyFill="1" applyBorder="1" applyAlignment="1">
      <x:alignment horizontal="left" vertical="top" wrapText="1"/>
    </x:xf>
    <x:xf numFmtId="0" fontId="14" fillId="2" borderId="1" xfId="0" applyNumberFormat="1" applyFont="1" applyFill="1" applyBorder="1" applyAlignment="1">
      <x:alignment horizontal="left" vertical="top" wrapText="1"/>
    </x:xf>
    <x:xf numFmtId="0" fontId="10" fillId="5" borderId="23" xfId="0" applyNumberFormat="1" applyFont="1" applyFill="1" applyBorder="1" applyAlignment="1">
      <x:alignment horizontal="left" vertical="center" wrapText="1"/>
    </x:xf>
    <x:xf numFmtId="0" fontId="10" fillId="5" borderId="13" xfId="0" applyNumberFormat="1" applyFont="1" applyFill="1" applyBorder="1" applyAlignment="1">
      <x:alignment horizontal="left" vertical="center" wrapText="1"/>
    </x:xf>
    <x:xf numFmtId="0" fontId="10" fillId="5" borderId="14" xfId="0" applyNumberFormat="1" applyFont="1" applyFill="1" applyBorder="1" applyAlignment="1">
      <x:alignment horizontal="left" vertical="center" wrapText="1"/>
    </x:xf>
    <x:xf numFmtId="200" fontId="10" fillId="5" borderId="14" xfId="0" applyNumberFormat="1" applyFont="1" applyFill="1" applyBorder="1" applyAlignment="1">
      <x:alignment horizontal="left" vertical="center" wrapText="1"/>
    </x:xf>
    <x:xf numFmtId="0" fontId="10" fillId="5" borderId="2" xfId="0" applyNumberFormat="1" applyFont="1" applyFill="1" applyBorder="1" applyAlignment="1">
      <x:alignment horizontal="left" vertical="center" wrapText="1"/>
    </x:xf>
    <x:xf numFmtId="200" fontId="2" fillId="2" borderId="1" xfId="0" applyNumberFormat="1" applyFont="1" applyFill="1" applyBorder="1"/>
    <x:xf numFmtId="200" fontId="0" fillId="0" borderId="0" xfId="0" applyNumberFormat="1" applyFont="1" applyFill="1" applyBorder="1"/>
    <x:xf numFmtId="200" fontId="2" fillId="2" borderId="1" xfId="0" applyNumberFormat="1" applyFont="1" applyFill="1" applyBorder="1" applyAlignment="1">
      <x:alignment wrapText="1"/>
    </x:xf>
    <x:xf numFmtId="0" fontId="2" fillId="2" borderId="1" xfId="0" applyNumberFormat="1" applyFont="1" applyFill="1" applyBorder="1" applyAlignment="1">
      <x:alignment wrapText="1"/>
    </x:xf>
    <x:xf numFmtId="200" fontId="0" fillId="0" borderId="0" xfId="0" applyNumberFormat="1" applyFont="1" applyFill="1" applyBorder="1" applyAlignment="1">
      <x:alignment wrapText="1"/>
    </x:xf>
  </x:cellXfs>
  <x:cellStyles count="6">
    <x:cellStyle name="Hyperlink" xfId="1"/>
    <x:cellStyle name="Normal" xfId="0"/>
    <x:cellStyle name="Normal_Functional Test Case v1.0" xfId="2"/>
    <x:cellStyle name="Normal_Sheet1" xfId="3"/>
    <x:cellStyle name="Normal_Template_UnitTest Case_v0.9" xfId="5"/>
    <x:cellStyle name="標準_結合試験(AllOvertheWorld)" xfId="4"/>
  </x:cellStyles>
</x:styleSheet>
</file>

<file path=xl/_rels/workbook.xml.rels>&#65279;<?xml version="1.0" encoding="utf-8"?><Relationships xmlns="http://schemas.openxmlformats.org/package/2006/relationships"><Relationship Type="http://schemas.openxmlformats.org/officeDocument/2006/relationships/styles" Target="/xl/styles.xml" Id="R71720d14dc7a4d64" /><Relationship Type="http://schemas.openxmlformats.org/officeDocument/2006/relationships/theme" Target="/xl/theme/theme1.xml" Id="Rfbac38b0e3da4bc8" /><Relationship Type="http://schemas.openxmlformats.org/officeDocument/2006/relationships/sharedStrings" Target="/xl/sharedStrings.xml" Id="Rc79386678a9e48cf" /><Relationship Type="http://schemas.openxmlformats.org/officeDocument/2006/relationships/worksheet" Target="/xl/worksheets/sheet1.xml" Id="Rdb787cf5e54840bb" /><Relationship Type="http://schemas.openxmlformats.org/officeDocument/2006/relationships/worksheet" Target="/xl/worksheets/sheet2.xml" Id="Rde613e81624549c5" /><Relationship Type="http://schemas.openxmlformats.org/officeDocument/2006/relationships/worksheet" Target="/xl/worksheets/sheet3.xml" Id="R97ca1cb433044cc4" /><Relationship Type="http://schemas.openxmlformats.org/officeDocument/2006/relationships/worksheet" Target="/xl/worksheets/sheet4.xml" Id="R6ca39de4ffce4460" /><Relationship Type="http://schemas.openxmlformats.org/officeDocument/2006/relationships/worksheet" Target="/xl/worksheets/sheet5.xml" Id="Rb4726b3c8ea843dc" /><Relationship Type="http://schemas.microsoft.com/office/2017/10/relationships/person" Target="/xl/persons/person.xml" Id="R2a01343f489b45f0" /></Relationships>
</file>

<file path=xl/drawings/_rels/drawing1.xml.rels>&#65279;<?xml version="1.0" encoding="utf-8"?><Relationships xmlns="http://schemas.openxmlformats.org/package/2006/relationships"><Relationship Type="http://schemas.openxmlformats.org/officeDocument/2006/relationships/image" Target="/xl/media/image.png" Id="R0c0e3493df94494f" /></Relationships>
</file>

<file path=xl/drawings/drawing1.xml><?xml version="1.0" encoding="utf-8"?>
<xdr:wsDr xmlns:xdr="http://schemas.openxmlformats.org/drawingml/2006/spreadsheetDrawing">
  <xdr:twoCellAnchor editAs="oneCell">
    <xdr:from>
      <xdr:col>0</xdr:col>
      <xdr:colOff>0</xdr:colOff>
      <xdr:row>1</xdr:row>
      <xdr:rowOff>88900</xdr:rowOff>
    </xdr:from>
    <xdr:to>
      <xdr:col>0</xdr:col>
      <xdr:colOff>2133600</xdr:colOff>
      <xdr:row>1</xdr:row>
      <xdr:rowOff>787400</xdr:rowOff>
    </xdr:to>
    <xdr:pic>
      <xdr:nvPicPr>
        <xdr:cNvPr id="1" name="/xl/media/image1.png"/>
        <xdr:cNvPicPr>
          <a:picLocks xmlns:a="http://schemas.openxmlformats.org/drawingml/2006/main" noChangeAspect="1"/>
        </xdr:cNvPicPr>
      </xdr:nvPicPr>
      <xdr:blipFill>
        <a:blip xmlns:r="http://schemas.openxmlformats.org/officeDocument/2006/relationships" xmlns:a="http://schemas.openxmlformats.org/drawingml/2006/main" r:embed="R0c0e3493df94494f"/>
        <a:stretch xmlns:a="http://schemas.openxmlformats.org/drawingml/2006/main">
          <a:fillRect/>
        </a:stretch>
      </xdr:blipFill>
      <xdr:spPr>
        <a:prstGeom xmlns:a="http://schemas.openxmlformats.org/drawingml/2006/main" prst="rect"/>
      </xdr:spPr>
    </xdr:pic>
    <xdr:clientData/>
  </xdr:twoCellAnchor>
</xdr:wsDr>
</file>

<file path=xl/persons/person.xml><?xml version="1.0" encoding="utf-8"?>
<xltc:personList xmlns:xltc="http://schemas.microsoft.com/office/spreadsheetml/2018/threadedcomments">
  <xltc:person displayName="tqsang" id="{B9F3866B-2C10-8123-30AE-8C650C9A3244}"/>
  <xltc:person displayName="tqsang" id="{77CFF65A-AC2E-ABE8-1CE0-54171345D831}"/>
</xltc: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comments" Target="/xl/comments1.xml" Id="R51056b436c0d4d8d" /><Relationship Type="http://schemas.openxmlformats.org/officeDocument/2006/relationships/vmlDrawing" Target="/xl/drawings/vmldrawing.vml" Id="R46689731854f4b2f" /><Relationship Type="http://schemas.openxmlformats.org/officeDocument/2006/relationships/drawing" Target="/xl/drawings/drawing1.xml" Id="R00b5f3dee50d4f14" /></Relationships>
</file>

<file path=xl/worksheets/_rels/sheet4.xml.rels>&#65279;<?xml version="1.0" encoding="utf-8"?><Relationships xmlns="http://schemas.openxmlformats.org/package/2006/relationships"><Relationship Type="http://schemas.openxmlformats.org/officeDocument/2006/relationships/comments" Target="/xl/comments2.xml" Id="Ra15cac5737aa4d53" /><Relationship Type="http://schemas.openxmlformats.org/officeDocument/2006/relationships/vmlDrawing" Target="/xl/drawings/vmldrawing2.vml" Id="Rbf1880aacf9a47dd" /></Relationships>
</file>

<file path=xl/worksheets/_rels/sheet5.xml.rels>&#65279;<?xml version="1.0" encoding="utf-8"?><Relationships xmlns="http://schemas.openxmlformats.org/package/2006/relationships"><Relationship Type="http://schemas.openxmlformats.org/officeDocument/2006/relationships/comments" Target="/xl/comments3.xml" Id="R9e086fff9356474f" /><Relationship Type="http://schemas.openxmlformats.org/officeDocument/2006/relationships/vmlDrawing" Target="/xl/drawings/vmldrawing3.vml" Id="R95512e5a1c674fbf" /></Relationships>
</file>

<file path=xl/worksheets/sheet1.xml><?xml version="1.0" encoding="utf-8"?>
<x:worksheet xmlns:x="http://schemas.openxmlformats.org/spreadsheetml/2006/main">
  <x:sheetViews>
    <x:sheetView showGridLines="0" workbookViewId="0"/>
  </x:sheetViews>
  <x:sheetFormatPr baseColWidth="10" defaultColWidth="9" defaultRowHeight="13"/>
  <x:cols>
    <x:col min="1" max="1" width="28.1640625" style="149" customWidth="1"/>
    <x:col min="2" max="2" width="10" style="118" customWidth="1"/>
    <x:col min="3" max="3" width="14.33203125" style="118" customWidth="1"/>
    <x:col min="4" max="4" width="8" style="118" customWidth="1"/>
    <x:col min="5" max="5" width="38" style="118" customWidth="1"/>
    <x:col min="6" max="6" width="48.1640625" style="118" customWidth="1"/>
    <x:col min="7" max="256" width="9" style="118" customWidth="0"/>
    <x:col min="257" max="257" width="28.1640625" style="118" customWidth="1"/>
    <x:col min="258" max="258" width="10" style="118" customWidth="1"/>
    <x:col min="259" max="259" width="14.33203125" style="118" customWidth="1"/>
    <x:col min="260" max="260" width="8" style="118" customWidth="1"/>
    <x:col min="261" max="261" width="38" style="118" customWidth="1"/>
    <x:col min="262" max="262" width="48.1640625" style="118" customWidth="1"/>
    <x:col min="263" max="512" width="9" style="118" customWidth="0"/>
    <x:col min="513" max="513" width="28.1640625" style="118" customWidth="1"/>
    <x:col min="514" max="514" width="10" style="118" customWidth="1"/>
    <x:col min="515" max="515" width="14.33203125" style="118" customWidth="1"/>
    <x:col min="516" max="516" width="8" style="118" customWidth="1"/>
    <x:col min="517" max="517" width="38" style="118" customWidth="1"/>
    <x:col min="518" max="518" width="48.1640625" style="118" customWidth="1"/>
    <x:col min="519" max="768" width="9" style="118" customWidth="0"/>
    <x:col min="769" max="769" width="28.1640625" style="118" customWidth="1"/>
    <x:col min="770" max="770" width="10" style="118" customWidth="1"/>
    <x:col min="771" max="771" width="14.33203125" style="118" customWidth="1"/>
    <x:col min="772" max="772" width="8" style="118" customWidth="1"/>
    <x:col min="773" max="773" width="38" style="118" customWidth="1"/>
    <x:col min="774" max="774" width="48.1640625" style="118" customWidth="1"/>
    <x:col min="775" max="1024" width="9" style="118" customWidth="0"/>
    <x:col min="1025" max="1025" width="28.1640625" style="118" customWidth="1"/>
    <x:col min="1026" max="1026" width="10" style="118" customWidth="1"/>
    <x:col min="1027" max="1027" width="14.33203125" style="118" customWidth="1"/>
    <x:col min="1028" max="1028" width="8" style="118" customWidth="1"/>
    <x:col min="1029" max="1029" width="38" style="118" customWidth="1"/>
    <x:col min="1030" max="1030" width="48.1640625" style="118" customWidth="1"/>
    <x:col min="1031" max="1280" width="9" style="118" customWidth="0"/>
    <x:col min="1281" max="1281" width="28.1640625" style="118" customWidth="1"/>
    <x:col min="1282" max="1282" width="10" style="118" customWidth="1"/>
    <x:col min="1283" max="1283" width="14.33203125" style="118" customWidth="1"/>
    <x:col min="1284" max="1284" width="8" style="118" customWidth="1"/>
    <x:col min="1285" max="1285" width="38" style="118" customWidth="1"/>
    <x:col min="1286" max="1286" width="48.1640625" style="118" customWidth="1"/>
    <x:col min="1287" max="1536" width="9" style="118" customWidth="0"/>
    <x:col min="1537" max="1537" width="28.1640625" style="118" customWidth="1"/>
    <x:col min="1538" max="1538" width="10" style="118" customWidth="1"/>
    <x:col min="1539" max="1539" width="14.33203125" style="118" customWidth="1"/>
    <x:col min="1540" max="1540" width="8" style="118" customWidth="1"/>
    <x:col min="1541" max="1541" width="38" style="118" customWidth="1"/>
    <x:col min="1542" max="1542" width="48.1640625" style="118" customWidth="1"/>
    <x:col min="1543" max="1792" width="9" style="118" customWidth="0"/>
    <x:col min="1793" max="1793" width="28.1640625" style="118" customWidth="1"/>
    <x:col min="1794" max="1794" width="10" style="118" customWidth="1"/>
    <x:col min="1795" max="1795" width="14.33203125" style="118" customWidth="1"/>
    <x:col min="1796" max="1796" width="8" style="118" customWidth="1"/>
    <x:col min="1797" max="1797" width="38" style="118" customWidth="1"/>
    <x:col min="1798" max="1798" width="48.1640625" style="118" customWidth="1"/>
    <x:col min="1799" max="2048" width="9" style="118" customWidth="0"/>
    <x:col min="2049" max="2049" width="28.1640625" style="118" customWidth="1"/>
    <x:col min="2050" max="2050" width="10" style="118" customWidth="1"/>
    <x:col min="2051" max="2051" width="14.33203125" style="118" customWidth="1"/>
    <x:col min="2052" max="2052" width="8" style="118" customWidth="1"/>
    <x:col min="2053" max="2053" width="38" style="118" customWidth="1"/>
    <x:col min="2054" max="2054" width="48.1640625" style="118" customWidth="1"/>
    <x:col min="2055" max="2304" width="9" style="118" customWidth="0"/>
    <x:col min="2305" max="2305" width="28.1640625" style="118" customWidth="1"/>
    <x:col min="2306" max="2306" width="10" style="118" customWidth="1"/>
    <x:col min="2307" max="2307" width="14.33203125" style="118" customWidth="1"/>
    <x:col min="2308" max="2308" width="8" style="118" customWidth="1"/>
    <x:col min="2309" max="2309" width="38" style="118" customWidth="1"/>
    <x:col min="2310" max="2310" width="48.1640625" style="118" customWidth="1"/>
    <x:col min="2311" max="2560" width="9" style="118" customWidth="0"/>
    <x:col min="2561" max="2561" width="28.1640625" style="118" customWidth="1"/>
    <x:col min="2562" max="2562" width="10" style="118" customWidth="1"/>
    <x:col min="2563" max="2563" width="14.33203125" style="118" customWidth="1"/>
    <x:col min="2564" max="2564" width="8" style="118" customWidth="1"/>
    <x:col min="2565" max="2565" width="38" style="118" customWidth="1"/>
    <x:col min="2566" max="2566" width="48.1640625" style="118" customWidth="1"/>
    <x:col min="2567" max="2816" width="9" style="118" customWidth="0"/>
    <x:col min="2817" max="2817" width="28.1640625" style="118" customWidth="1"/>
    <x:col min="2818" max="2818" width="10" style="118" customWidth="1"/>
    <x:col min="2819" max="2819" width="14.33203125" style="118" customWidth="1"/>
    <x:col min="2820" max="2820" width="8" style="118" customWidth="1"/>
    <x:col min="2821" max="2821" width="38" style="118" customWidth="1"/>
    <x:col min="2822" max="2822" width="48.1640625" style="118" customWidth="1"/>
    <x:col min="2823" max="3072" width="9" style="118" customWidth="0"/>
    <x:col min="3073" max="3073" width="28.1640625" style="118" customWidth="1"/>
    <x:col min="3074" max="3074" width="10" style="118" customWidth="1"/>
    <x:col min="3075" max="3075" width="14.33203125" style="118" customWidth="1"/>
    <x:col min="3076" max="3076" width="8" style="118" customWidth="1"/>
    <x:col min="3077" max="3077" width="38" style="118" customWidth="1"/>
    <x:col min="3078" max="3078" width="48.1640625" style="118" customWidth="1"/>
    <x:col min="3079" max="3328" width="9" style="118" customWidth="0"/>
    <x:col min="3329" max="3329" width="28.1640625" style="118" customWidth="1"/>
    <x:col min="3330" max="3330" width="10" style="118" customWidth="1"/>
    <x:col min="3331" max="3331" width="14.33203125" style="118" customWidth="1"/>
    <x:col min="3332" max="3332" width="8" style="118" customWidth="1"/>
    <x:col min="3333" max="3333" width="38" style="118" customWidth="1"/>
    <x:col min="3334" max="3334" width="48.1640625" style="118" customWidth="1"/>
    <x:col min="3335" max="3584" width="9" style="118" customWidth="0"/>
    <x:col min="3585" max="3585" width="28.1640625" style="118" customWidth="1"/>
    <x:col min="3586" max="3586" width="10" style="118" customWidth="1"/>
    <x:col min="3587" max="3587" width="14.33203125" style="118" customWidth="1"/>
    <x:col min="3588" max="3588" width="8" style="118" customWidth="1"/>
    <x:col min="3589" max="3589" width="38" style="118" customWidth="1"/>
    <x:col min="3590" max="3590" width="48.1640625" style="118" customWidth="1"/>
    <x:col min="3591" max="3840" width="9" style="118" customWidth="0"/>
    <x:col min="3841" max="3841" width="28.1640625" style="118" customWidth="1"/>
    <x:col min="3842" max="3842" width="10" style="118" customWidth="1"/>
    <x:col min="3843" max="3843" width="14.33203125" style="118" customWidth="1"/>
    <x:col min="3844" max="3844" width="8" style="118" customWidth="1"/>
    <x:col min="3845" max="3845" width="38" style="118" customWidth="1"/>
    <x:col min="3846" max="3846" width="48.1640625" style="118" customWidth="1"/>
    <x:col min="3847" max="4096" width="9" style="118" customWidth="0"/>
    <x:col min="4097" max="4097" width="28.1640625" style="118" customWidth="1"/>
    <x:col min="4098" max="4098" width="10" style="118" customWidth="1"/>
    <x:col min="4099" max="4099" width="14.33203125" style="118" customWidth="1"/>
    <x:col min="4100" max="4100" width="8" style="118" customWidth="1"/>
    <x:col min="4101" max="4101" width="38" style="118" customWidth="1"/>
    <x:col min="4102" max="4102" width="48.1640625" style="118" customWidth="1"/>
    <x:col min="4103" max="4352" width="9" style="118" customWidth="0"/>
    <x:col min="4353" max="4353" width="28.1640625" style="118" customWidth="1"/>
    <x:col min="4354" max="4354" width="10" style="118" customWidth="1"/>
    <x:col min="4355" max="4355" width="14.33203125" style="118" customWidth="1"/>
    <x:col min="4356" max="4356" width="8" style="118" customWidth="1"/>
    <x:col min="4357" max="4357" width="38" style="118" customWidth="1"/>
    <x:col min="4358" max="4358" width="48.1640625" style="118" customWidth="1"/>
    <x:col min="4359" max="4608" width="9" style="118" customWidth="0"/>
    <x:col min="4609" max="4609" width="28.1640625" style="118" customWidth="1"/>
    <x:col min="4610" max="4610" width="10" style="118" customWidth="1"/>
    <x:col min="4611" max="4611" width="14.33203125" style="118" customWidth="1"/>
    <x:col min="4612" max="4612" width="8" style="118" customWidth="1"/>
    <x:col min="4613" max="4613" width="38" style="118" customWidth="1"/>
    <x:col min="4614" max="4614" width="48.1640625" style="118" customWidth="1"/>
    <x:col min="4615" max="4864" width="9" style="118" customWidth="0"/>
    <x:col min="4865" max="4865" width="28.1640625" style="118" customWidth="1"/>
    <x:col min="4866" max="4866" width="10" style="118" customWidth="1"/>
    <x:col min="4867" max="4867" width="14.33203125" style="118" customWidth="1"/>
    <x:col min="4868" max="4868" width="8" style="118" customWidth="1"/>
    <x:col min="4869" max="4869" width="38" style="118" customWidth="1"/>
    <x:col min="4870" max="4870" width="48.1640625" style="118" customWidth="1"/>
    <x:col min="4871" max="5120" width="9" style="118" customWidth="0"/>
    <x:col min="5121" max="5121" width="28.1640625" style="118" customWidth="1"/>
    <x:col min="5122" max="5122" width="10" style="118" customWidth="1"/>
    <x:col min="5123" max="5123" width="14.33203125" style="118" customWidth="1"/>
    <x:col min="5124" max="5124" width="8" style="118" customWidth="1"/>
    <x:col min="5125" max="5125" width="38" style="118" customWidth="1"/>
    <x:col min="5126" max="5126" width="48.1640625" style="118" customWidth="1"/>
    <x:col min="5127" max="5376" width="9" style="118" customWidth="0"/>
    <x:col min="5377" max="5377" width="28.1640625" style="118" customWidth="1"/>
    <x:col min="5378" max="5378" width="10" style="118" customWidth="1"/>
    <x:col min="5379" max="5379" width="14.33203125" style="118" customWidth="1"/>
    <x:col min="5380" max="5380" width="8" style="118" customWidth="1"/>
    <x:col min="5381" max="5381" width="38" style="118" customWidth="1"/>
    <x:col min="5382" max="5382" width="48.1640625" style="118" customWidth="1"/>
    <x:col min="5383" max="5632" width="9" style="118" customWidth="0"/>
    <x:col min="5633" max="5633" width="28.1640625" style="118" customWidth="1"/>
    <x:col min="5634" max="5634" width="10" style="118" customWidth="1"/>
    <x:col min="5635" max="5635" width="14.33203125" style="118" customWidth="1"/>
    <x:col min="5636" max="5636" width="8" style="118" customWidth="1"/>
    <x:col min="5637" max="5637" width="38" style="118" customWidth="1"/>
    <x:col min="5638" max="5638" width="48.1640625" style="118" customWidth="1"/>
    <x:col min="5639" max="5888" width="9" style="118" customWidth="0"/>
    <x:col min="5889" max="5889" width="28.1640625" style="118" customWidth="1"/>
    <x:col min="5890" max="5890" width="10" style="118" customWidth="1"/>
    <x:col min="5891" max="5891" width="14.33203125" style="118" customWidth="1"/>
    <x:col min="5892" max="5892" width="8" style="118" customWidth="1"/>
    <x:col min="5893" max="5893" width="38" style="118" customWidth="1"/>
    <x:col min="5894" max="5894" width="48.1640625" style="118" customWidth="1"/>
    <x:col min="5895" max="6144" width="9" style="118" customWidth="0"/>
    <x:col min="6145" max="6145" width="28.1640625" style="118" customWidth="1"/>
    <x:col min="6146" max="6146" width="10" style="118" customWidth="1"/>
    <x:col min="6147" max="6147" width="14.33203125" style="118" customWidth="1"/>
    <x:col min="6148" max="6148" width="8" style="118" customWidth="1"/>
    <x:col min="6149" max="6149" width="38" style="118" customWidth="1"/>
    <x:col min="6150" max="6150" width="48.1640625" style="118" customWidth="1"/>
    <x:col min="6151" max="6400" width="9" style="118" customWidth="0"/>
    <x:col min="6401" max="6401" width="28.1640625" style="118" customWidth="1"/>
    <x:col min="6402" max="6402" width="10" style="118" customWidth="1"/>
    <x:col min="6403" max="6403" width="14.33203125" style="118" customWidth="1"/>
    <x:col min="6404" max="6404" width="8" style="118" customWidth="1"/>
    <x:col min="6405" max="6405" width="38" style="118" customWidth="1"/>
    <x:col min="6406" max="6406" width="48.1640625" style="118" customWidth="1"/>
    <x:col min="6407" max="6656" width="9" style="118" customWidth="0"/>
    <x:col min="6657" max="6657" width="28.1640625" style="118" customWidth="1"/>
    <x:col min="6658" max="6658" width="10" style="118" customWidth="1"/>
    <x:col min="6659" max="6659" width="14.33203125" style="118" customWidth="1"/>
    <x:col min="6660" max="6660" width="8" style="118" customWidth="1"/>
    <x:col min="6661" max="6661" width="38" style="118" customWidth="1"/>
    <x:col min="6662" max="6662" width="48.1640625" style="118" customWidth="1"/>
    <x:col min="6663" max="6912" width="9" style="118" customWidth="0"/>
    <x:col min="6913" max="6913" width="28.1640625" style="118" customWidth="1"/>
    <x:col min="6914" max="6914" width="10" style="118" customWidth="1"/>
    <x:col min="6915" max="6915" width="14.33203125" style="118" customWidth="1"/>
    <x:col min="6916" max="6916" width="8" style="118" customWidth="1"/>
    <x:col min="6917" max="6917" width="38" style="118" customWidth="1"/>
    <x:col min="6918" max="6918" width="48.1640625" style="118" customWidth="1"/>
    <x:col min="6919" max="7168" width="9" style="118" customWidth="0"/>
    <x:col min="7169" max="7169" width="28.1640625" style="118" customWidth="1"/>
    <x:col min="7170" max="7170" width="10" style="118" customWidth="1"/>
    <x:col min="7171" max="7171" width="14.33203125" style="118" customWidth="1"/>
    <x:col min="7172" max="7172" width="8" style="118" customWidth="1"/>
    <x:col min="7173" max="7173" width="38" style="118" customWidth="1"/>
    <x:col min="7174" max="7174" width="48.1640625" style="118" customWidth="1"/>
    <x:col min="7175" max="7424" width="9" style="118" customWidth="0"/>
    <x:col min="7425" max="7425" width="28.1640625" style="118" customWidth="1"/>
    <x:col min="7426" max="7426" width="10" style="118" customWidth="1"/>
    <x:col min="7427" max="7427" width="14.33203125" style="118" customWidth="1"/>
    <x:col min="7428" max="7428" width="8" style="118" customWidth="1"/>
    <x:col min="7429" max="7429" width="38" style="118" customWidth="1"/>
    <x:col min="7430" max="7430" width="48.1640625" style="118" customWidth="1"/>
    <x:col min="7431" max="7680" width="9" style="118" customWidth="0"/>
    <x:col min="7681" max="7681" width="28.1640625" style="118" customWidth="1"/>
    <x:col min="7682" max="7682" width="10" style="118" customWidth="1"/>
    <x:col min="7683" max="7683" width="14.33203125" style="118" customWidth="1"/>
    <x:col min="7684" max="7684" width="8" style="118" customWidth="1"/>
    <x:col min="7685" max="7685" width="38" style="118" customWidth="1"/>
    <x:col min="7686" max="7686" width="48.1640625" style="118" customWidth="1"/>
    <x:col min="7687" max="7936" width="9" style="118" customWidth="0"/>
    <x:col min="7937" max="7937" width="28.1640625" style="118" customWidth="1"/>
    <x:col min="7938" max="7938" width="10" style="118" customWidth="1"/>
    <x:col min="7939" max="7939" width="14.33203125" style="118" customWidth="1"/>
    <x:col min="7940" max="7940" width="8" style="118" customWidth="1"/>
    <x:col min="7941" max="7941" width="38" style="118" customWidth="1"/>
    <x:col min="7942" max="7942" width="48.1640625" style="118" customWidth="1"/>
    <x:col min="7943" max="8192" width="9" style="118" customWidth="0"/>
    <x:col min="8193" max="8193" width="28.1640625" style="118" customWidth="1"/>
    <x:col min="8194" max="8194" width="10" style="118" customWidth="1"/>
    <x:col min="8195" max="8195" width="14.33203125" style="118" customWidth="1"/>
    <x:col min="8196" max="8196" width="8" style="118" customWidth="1"/>
    <x:col min="8197" max="8197" width="38" style="118" customWidth="1"/>
    <x:col min="8198" max="8198" width="48.1640625" style="118" customWidth="1"/>
    <x:col min="8199" max="8448" width="9" style="118" customWidth="0"/>
    <x:col min="8449" max="8449" width="28.1640625" style="118" customWidth="1"/>
    <x:col min="8450" max="8450" width="10" style="118" customWidth="1"/>
    <x:col min="8451" max="8451" width="14.33203125" style="118" customWidth="1"/>
    <x:col min="8452" max="8452" width="8" style="118" customWidth="1"/>
    <x:col min="8453" max="8453" width="38" style="118" customWidth="1"/>
    <x:col min="8454" max="8454" width="48.1640625" style="118" customWidth="1"/>
    <x:col min="8455" max="8704" width="9" style="118" customWidth="0"/>
    <x:col min="8705" max="8705" width="28.1640625" style="118" customWidth="1"/>
    <x:col min="8706" max="8706" width="10" style="118" customWidth="1"/>
    <x:col min="8707" max="8707" width="14.33203125" style="118" customWidth="1"/>
    <x:col min="8708" max="8708" width="8" style="118" customWidth="1"/>
    <x:col min="8709" max="8709" width="38" style="118" customWidth="1"/>
    <x:col min="8710" max="8710" width="48.1640625" style="118" customWidth="1"/>
    <x:col min="8711" max="8960" width="9" style="118" customWidth="0"/>
    <x:col min="8961" max="8961" width="28.1640625" style="118" customWidth="1"/>
    <x:col min="8962" max="8962" width="10" style="118" customWidth="1"/>
    <x:col min="8963" max="8963" width="14.33203125" style="118" customWidth="1"/>
    <x:col min="8964" max="8964" width="8" style="118" customWidth="1"/>
    <x:col min="8965" max="8965" width="38" style="118" customWidth="1"/>
    <x:col min="8966" max="8966" width="48.1640625" style="118" customWidth="1"/>
    <x:col min="8967" max="9216" width="9" style="118" customWidth="0"/>
    <x:col min="9217" max="9217" width="28.1640625" style="118" customWidth="1"/>
    <x:col min="9218" max="9218" width="10" style="118" customWidth="1"/>
    <x:col min="9219" max="9219" width="14.33203125" style="118" customWidth="1"/>
    <x:col min="9220" max="9220" width="8" style="118" customWidth="1"/>
    <x:col min="9221" max="9221" width="38" style="118" customWidth="1"/>
    <x:col min="9222" max="9222" width="48.1640625" style="118" customWidth="1"/>
    <x:col min="9223" max="9472" width="9" style="118" customWidth="0"/>
    <x:col min="9473" max="9473" width="28.1640625" style="118" customWidth="1"/>
    <x:col min="9474" max="9474" width="10" style="118" customWidth="1"/>
    <x:col min="9475" max="9475" width="14.33203125" style="118" customWidth="1"/>
    <x:col min="9476" max="9476" width="8" style="118" customWidth="1"/>
    <x:col min="9477" max="9477" width="38" style="118" customWidth="1"/>
    <x:col min="9478" max="9478" width="48.1640625" style="118" customWidth="1"/>
    <x:col min="9479" max="9728" width="9" style="118" customWidth="0"/>
    <x:col min="9729" max="9729" width="28.1640625" style="118" customWidth="1"/>
    <x:col min="9730" max="9730" width="10" style="118" customWidth="1"/>
    <x:col min="9731" max="9731" width="14.33203125" style="118" customWidth="1"/>
    <x:col min="9732" max="9732" width="8" style="118" customWidth="1"/>
    <x:col min="9733" max="9733" width="38" style="118" customWidth="1"/>
    <x:col min="9734" max="9734" width="48.1640625" style="118" customWidth="1"/>
    <x:col min="9735" max="9984" width="9" style="118" customWidth="0"/>
    <x:col min="9985" max="9985" width="28.1640625" style="118" customWidth="1"/>
    <x:col min="9986" max="9986" width="10" style="118" customWidth="1"/>
    <x:col min="9987" max="9987" width="14.33203125" style="118" customWidth="1"/>
    <x:col min="9988" max="9988" width="8" style="118" customWidth="1"/>
    <x:col min="9989" max="9989" width="38" style="118" customWidth="1"/>
    <x:col min="9990" max="9990" width="48.1640625" style="118" customWidth="1"/>
    <x:col min="9991" max="10240" width="9" style="118" customWidth="0"/>
    <x:col min="10241" max="10241" width="28.1640625" style="118" customWidth="1"/>
    <x:col min="10242" max="10242" width="10" style="118" customWidth="1"/>
    <x:col min="10243" max="10243" width="14.33203125" style="118" customWidth="1"/>
    <x:col min="10244" max="10244" width="8" style="118" customWidth="1"/>
    <x:col min="10245" max="10245" width="38" style="118" customWidth="1"/>
    <x:col min="10246" max="10246" width="48.1640625" style="118" customWidth="1"/>
    <x:col min="10247" max="10496" width="9" style="118" customWidth="0"/>
    <x:col min="10497" max="10497" width="28.1640625" style="118" customWidth="1"/>
    <x:col min="10498" max="10498" width="10" style="118" customWidth="1"/>
    <x:col min="10499" max="10499" width="14.33203125" style="118" customWidth="1"/>
    <x:col min="10500" max="10500" width="8" style="118" customWidth="1"/>
    <x:col min="10501" max="10501" width="38" style="118" customWidth="1"/>
    <x:col min="10502" max="10502" width="48.1640625" style="118" customWidth="1"/>
    <x:col min="10503" max="10752" width="9" style="118" customWidth="0"/>
    <x:col min="10753" max="10753" width="28.1640625" style="118" customWidth="1"/>
    <x:col min="10754" max="10754" width="10" style="118" customWidth="1"/>
    <x:col min="10755" max="10755" width="14.33203125" style="118" customWidth="1"/>
    <x:col min="10756" max="10756" width="8" style="118" customWidth="1"/>
    <x:col min="10757" max="10757" width="38" style="118" customWidth="1"/>
    <x:col min="10758" max="10758" width="48.1640625" style="118" customWidth="1"/>
    <x:col min="10759" max="11008" width="9" style="118" customWidth="0"/>
    <x:col min="11009" max="11009" width="28.1640625" style="118" customWidth="1"/>
    <x:col min="11010" max="11010" width="10" style="118" customWidth="1"/>
    <x:col min="11011" max="11011" width="14.33203125" style="118" customWidth="1"/>
    <x:col min="11012" max="11012" width="8" style="118" customWidth="1"/>
    <x:col min="11013" max="11013" width="38" style="118" customWidth="1"/>
    <x:col min="11014" max="11014" width="48.1640625" style="118" customWidth="1"/>
    <x:col min="11015" max="11264" width="9" style="118" customWidth="0"/>
    <x:col min="11265" max="11265" width="28.1640625" style="118" customWidth="1"/>
    <x:col min="11266" max="11266" width="10" style="118" customWidth="1"/>
    <x:col min="11267" max="11267" width="14.33203125" style="118" customWidth="1"/>
    <x:col min="11268" max="11268" width="8" style="118" customWidth="1"/>
    <x:col min="11269" max="11269" width="38" style="118" customWidth="1"/>
    <x:col min="11270" max="11270" width="48.1640625" style="118" customWidth="1"/>
    <x:col min="11271" max="11520" width="9" style="118" customWidth="0"/>
    <x:col min="11521" max="11521" width="28.1640625" style="118" customWidth="1"/>
    <x:col min="11522" max="11522" width="10" style="118" customWidth="1"/>
    <x:col min="11523" max="11523" width="14.33203125" style="118" customWidth="1"/>
    <x:col min="11524" max="11524" width="8" style="118" customWidth="1"/>
    <x:col min="11525" max="11525" width="38" style="118" customWidth="1"/>
    <x:col min="11526" max="11526" width="48.1640625" style="118" customWidth="1"/>
    <x:col min="11527" max="11776" width="9" style="118" customWidth="0"/>
    <x:col min="11777" max="11777" width="28.1640625" style="118" customWidth="1"/>
    <x:col min="11778" max="11778" width="10" style="118" customWidth="1"/>
    <x:col min="11779" max="11779" width="14.33203125" style="118" customWidth="1"/>
    <x:col min="11780" max="11780" width="8" style="118" customWidth="1"/>
    <x:col min="11781" max="11781" width="38" style="118" customWidth="1"/>
    <x:col min="11782" max="11782" width="48.1640625" style="118" customWidth="1"/>
    <x:col min="11783" max="12032" width="9" style="118" customWidth="0"/>
    <x:col min="12033" max="12033" width="28.1640625" style="118" customWidth="1"/>
    <x:col min="12034" max="12034" width="10" style="118" customWidth="1"/>
    <x:col min="12035" max="12035" width="14.33203125" style="118" customWidth="1"/>
    <x:col min="12036" max="12036" width="8" style="118" customWidth="1"/>
    <x:col min="12037" max="12037" width="38" style="118" customWidth="1"/>
    <x:col min="12038" max="12038" width="48.1640625" style="118" customWidth="1"/>
    <x:col min="12039" max="12288" width="9" style="118" customWidth="0"/>
    <x:col min="12289" max="12289" width="28.1640625" style="118" customWidth="1"/>
    <x:col min="12290" max="12290" width="10" style="118" customWidth="1"/>
    <x:col min="12291" max="12291" width="14.33203125" style="118" customWidth="1"/>
    <x:col min="12292" max="12292" width="8" style="118" customWidth="1"/>
    <x:col min="12293" max="12293" width="38" style="118" customWidth="1"/>
    <x:col min="12294" max="12294" width="48.1640625" style="118" customWidth="1"/>
    <x:col min="12295" max="12544" width="9" style="118" customWidth="0"/>
    <x:col min="12545" max="12545" width="28.1640625" style="118" customWidth="1"/>
    <x:col min="12546" max="12546" width="10" style="118" customWidth="1"/>
    <x:col min="12547" max="12547" width="14.33203125" style="118" customWidth="1"/>
    <x:col min="12548" max="12548" width="8" style="118" customWidth="1"/>
    <x:col min="12549" max="12549" width="38" style="118" customWidth="1"/>
    <x:col min="12550" max="12550" width="48.1640625" style="118" customWidth="1"/>
    <x:col min="12551" max="12800" width="9" style="118" customWidth="0"/>
    <x:col min="12801" max="12801" width="28.1640625" style="118" customWidth="1"/>
    <x:col min="12802" max="12802" width="10" style="118" customWidth="1"/>
    <x:col min="12803" max="12803" width="14.33203125" style="118" customWidth="1"/>
    <x:col min="12804" max="12804" width="8" style="118" customWidth="1"/>
    <x:col min="12805" max="12805" width="38" style="118" customWidth="1"/>
    <x:col min="12806" max="12806" width="48.1640625" style="118" customWidth="1"/>
    <x:col min="12807" max="13056" width="9" style="118" customWidth="0"/>
    <x:col min="13057" max="13057" width="28.1640625" style="118" customWidth="1"/>
    <x:col min="13058" max="13058" width="10" style="118" customWidth="1"/>
    <x:col min="13059" max="13059" width="14.33203125" style="118" customWidth="1"/>
    <x:col min="13060" max="13060" width="8" style="118" customWidth="1"/>
    <x:col min="13061" max="13061" width="38" style="118" customWidth="1"/>
    <x:col min="13062" max="13062" width="48.1640625" style="118" customWidth="1"/>
    <x:col min="13063" max="13312" width="9" style="118" customWidth="0"/>
    <x:col min="13313" max="13313" width="28.1640625" style="118" customWidth="1"/>
    <x:col min="13314" max="13314" width="10" style="118" customWidth="1"/>
    <x:col min="13315" max="13315" width="14.33203125" style="118" customWidth="1"/>
    <x:col min="13316" max="13316" width="8" style="118" customWidth="1"/>
    <x:col min="13317" max="13317" width="38" style="118" customWidth="1"/>
    <x:col min="13318" max="13318" width="48.1640625" style="118" customWidth="1"/>
    <x:col min="13319" max="13568" width="9" style="118" customWidth="0"/>
    <x:col min="13569" max="13569" width="28.1640625" style="118" customWidth="1"/>
    <x:col min="13570" max="13570" width="10" style="118" customWidth="1"/>
    <x:col min="13571" max="13571" width="14.33203125" style="118" customWidth="1"/>
    <x:col min="13572" max="13572" width="8" style="118" customWidth="1"/>
    <x:col min="13573" max="13573" width="38" style="118" customWidth="1"/>
    <x:col min="13574" max="13574" width="48.1640625" style="118" customWidth="1"/>
    <x:col min="13575" max="13824" width="9" style="118" customWidth="0"/>
    <x:col min="13825" max="13825" width="28.1640625" style="118" customWidth="1"/>
    <x:col min="13826" max="13826" width="10" style="118" customWidth="1"/>
    <x:col min="13827" max="13827" width="14.33203125" style="118" customWidth="1"/>
    <x:col min="13828" max="13828" width="8" style="118" customWidth="1"/>
    <x:col min="13829" max="13829" width="38" style="118" customWidth="1"/>
    <x:col min="13830" max="13830" width="48.1640625" style="118" customWidth="1"/>
    <x:col min="13831" max="14080" width="9" style="118" customWidth="0"/>
    <x:col min="14081" max="14081" width="28.1640625" style="118" customWidth="1"/>
    <x:col min="14082" max="14082" width="10" style="118" customWidth="1"/>
    <x:col min="14083" max="14083" width="14.33203125" style="118" customWidth="1"/>
    <x:col min="14084" max="14084" width="8" style="118" customWidth="1"/>
    <x:col min="14085" max="14085" width="38" style="118" customWidth="1"/>
    <x:col min="14086" max="14086" width="48.1640625" style="118" customWidth="1"/>
    <x:col min="14087" max="14336" width="9" style="118" customWidth="0"/>
    <x:col min="14337" max="14337" width="28.1640625" style="118" customWidth="1"/>
    <x:col min="14338" max="14338" width="10" style="118" customWidth="1"/>
    <x:col min="14339" max="14339" width="14.33203125" style="118" customWidth="1"/>
    <x:col min="14340" max="14340" width="8" style="118" customWidth="1"/>
    <x:col min="14341" max="14341" width="38" style="118" customWidth="1"/>
    <x:col min="14342" max="14342" width="48.1640625" style="118" customWidth="1"/>
    <x:col min="14343" max="14592" width="9" style="118" customWidth="0"/>
    <x:col min="14593" max="14593" width="28.1640625" style="118" customWidth="1"/>
    <x:col min="14594" max="14594" width="10" style="118" customWidth="1"/>
    <x:col min="14595" max="14595" width="14.33203125" style="118" customWidth="1"/>
    <x:col min="14596" max="14596" width="8" style="118" customWidth="1"/>
    <x:col min="14597" max="14597" width="38" style="118" customWidth="1"/>
    <x:col min="14598" max="14598" width="48.1640625" style="118" customWidth="1"/>
    <x:col min="14599" max="14848" width="9" style="118" customWidth="0"/>
    <x:col min="14849" max="14849" width="28.1640625" style="118" customWidth="1"/>
    <x:col min="14850" max="14850" width="10" style="118" customWidth="1"/>
    <x:col min="14851" max="14851" width="14.33203125" style="118" customWidth="1"/>
    <x:col min="14852" max="14852" width="8" style="118" customWidth="1"/>
    <x:col min="14853" max="14853" width="38" style="118" customWidth="1"/>
    <x:col min="14854" max="14854" width="48.1640625" style="118" customWidth="1"/>
    <x:col min="14855" max="15104" width="9" style="118" customWidth="0"/>
    <x:col min="15105" max="15105" width="28.1640625" style="118" customWidth="1"/>
    <x:col min="15106" max="15106" width="10" style="118" customWidth="1"/>
    <x:col min="15107" max="15107" width="14.33203125" style="118" customWidth="1"/>
    <x:col min="15108" max="15108" width="8" style="118" customWidth="1"/>
    <x:col min="15109" max="15109" width="38" style="118" customWidth="1"/>
    <x:col min="15110" max="15110" width="48.1640625" style="118" customWidth="1"/>
    <x:col min="15111" max="15360" width="9" style="118" customWidth="0"/>
    <x:col min="15361" max="15361" width="28.1640625" style="118" customWidth="1"/>
    <x:col min="15362" max="15362" width="10" style="118" customWidth="1"/>
    <x:col min="15363" max="15363" width="14.33203125" style="118" customWidth="1"/>
    <x:col min="15364" max="15364" width="8" style="118" customWidth="1"/>
    <x:col min="15365" max="15365" width="38" style="118" customWidth="1"/>
    <x:col min="15366" max="15366" width="48.1640625" style="118" customWidth="1"/>
    <x:col min="15367" max="15616" width="9" style="118" customWidth="0"/>
    <x:col min="15617" max="15617" width="28.1640625" style="118" customWidth="1"/>
    <x:col min="15618" max="15618" width="10" style="118" customWidth="1"/>
    <x:col min="15619" max="15619" width="14.33203125" style="118" customWidth="1"/>
    <x:col min="15620" max="15620" width="8" style="118" customWidth="1"/>
    <x:col min="15621" max="15621" width="38" style="118" customWidth="1"/>
    <x:col min="15622" max="15622" width="48.1640625" style="118" customWidth="1"/>
    <x:col min="15623" max="15872" width="9" style="118" customWidth="0"/>
    <x:col min="15873" max="15873" width="28.1640625" style="118" customWidth="1"/>
    <x:col min="15874" max="15874" width="10" style="118" customWidth="1"/>
    <x:col min="15875" max="15875" width="14.33203125" style="118" customWidth="1"/>
    <x:col min="15876" max="15876" width="8" style="118" customWidth="1"/>
    <x:col min="15877" max="15877" width="38" style="118" customWidth="1"/>
    <x:col min="15878" max="15878" width="48.1640625" style="118" customWidth="1"/>
    <x:col min="15879" max="16128" width="9" style="118" customWidth="0"/>
    <x:col min="16129" max="16129" width="28.1640625" style="118" customWidth="1"/>
    <x:col min="16130" max="16130" width="10" style="118" customWidth="1"/>
    <x:col min="16131" max="16131" width="14.33203125" style="118" customWidth="1"/>
    <x:col min="16132" max="16132" width="8" style="118" customWidth="1"/>
    <x:col min="16133" max="16133" width="38" style="118" customWidth="1"/>
    <x:col min="16134" max="16134" width="48.1640625" style="118" customWidth="1"/>
    <x:col min="16135" max="16384" width="9" style="118" customWidth="0"/>
  </x:cols>
  <x:sheetData>
    <x:row r="2" s="115" customFormat="1" ht="75.75" customHeight="1">
      <x:c r="A2" s="113"/>
      <x:c r="B2" s="114" t="s">
        <x:v>0</x:v>
      </x:c>
      <x:c r="C2" s="114"/>
      <x:c r="D2" s="114"/>
      <x:c r="E2" s="114"/>
      <x:c r="F2" s="114"/>
    </x:row>
    <x:row r="3">
      <x:c r="A3" s="116"/>
      <x:c r="B3" s="117"/>
      <x:c r="E3" s="119"/>
    </x:row>
    <x:row r="4" ht="14.25" customHeight="1">
      <x:c r="A4" s="120" t="s">
        <x:v>1</x:v>
      </x:c>
      <x:c r="B4" s="121" t="str">
        <x:v>SmartDroneInspection</x:v>
      </x:c>
      <x:c r="C4" s="121"/>
      <x:c r="D4" s="121"/>
      <x:c r="E4" s="120" t="s">
        <x:v>2</x:v>
      </x:c>
      <x:c r="F4" s="122" t="str">
        <x:v>TBD</x:v>
      </x:c>
    </x:row>
    <x:row r="5" ht="14.25" customHeight="1">
      <x:c r="A5" s="120" t="s">
        <x:v>3</x:v>
      </x:c>
      <x:c r="B5" s="121" t="str">
        <x:v>SEP490 — confirm with project owner</x:v>
      </x:c>
      <x:c r="C5" s="121"/>
      <x:c r="D5" s="121"/>
      <x:c r="E5" s="120" t="s">
        <x:v>4</x:v>
      </x:c>
      <x:c r="F5" s="123" t="str">
        <x:v>2026-09-25</x:v>
      </x:c>
    </x:row>
    <x:row r="6" ht="15.75" customHeight="1">
      <x:c r="A6" s="124" t="s">
        <x:v>5</x:v>
      </x:c>
      <x:c r="B6" s="125" t="str">
        <x:v>TBD — enter document code</x:v>
      </x:c>
      <x:c r="C6" s="126"/>
      <x:c r="D6" s="127"/>
      <x:c r="E6" s="120" t="s">
        <x:v>6</x:v>
      </x:c>
      <x:c r="F6" s="128" t="str">
        <x:v>1.2</x:v>
      </x:c>
    </x:row>
    <x:row r="7">
      <x:c r="A7" s="129"/>
      <x:c r="B7" s="130"/>
      <x:c r="E7" s="131"/>
      <x:c r="F7" s="117"/>
    </x:row>
    <x:row r="8">
      <x:c r="A8" s="118"/>
    </x:row>
    <x:row r="9">
      <x:c r="A9" s="132" t="s">
        <x:v>7</x:v>
      </x:c>
    </x:row>
    <x:row r="10" s="136" customFormat="1">
      <x:c r="A10" s="133" t="s">
        <x:v>8</x:v>
      </x:c>
      <x:c r="B10" s="134" t="s">
        <x:v>6</x:v>
      </x:c>
      <x:c r="C10" s="134" t="s">
        <x:v>9</x:v>
      </x:c>
      <x:c r="D10" s="134" t="s">
        <x:v>10</x:v>
      </x:c>
      <x:c r="E10" s="134" t="s">
        <x:v>11</x:v>
      </x:c>
      <x:c r="F10" s="135" t="s">
        <x:v>12</x:v>
      </x:c>
    </x:row>
    <x:row r="11" s="142" customFormat="1" ht="36" hidden="0" customHeight="1">
      <x:c r="A11" s="137" t="str">
        <x:v>2026-09-22</x:v>
      </x:c>
      <x:c r="B11" s="138" t="str">
        <x:v>0.1</x:v>
      </x:c>
      <x:c r="C11" s="150" t="str">
        <x:v>Initial Markdown test-report source</x:v>
      </x:c>
      <x:c r="D11" s="150" t="str">
        <x:v>A</x:v>
      </x:c>
      <x:c r="E11" s="151" t="str">
        <x:v>Split the supplied Report 5 template into editable sections and added the current WF1–WF4 baseline cases.</x:v>
      </x:c>
      <x:c r="F11" s="152" t="str">
        <x:v>Report 5 template</x:v>
      </x:c>
    </x:row>
    <x:row r="12" s="142" customFormat="1" ht="48" hidden="0" customHeight="1">
      <x:c r="A12" s="143" t="str">
        <x:v>2026-09-22</x:v>
      </x:c>
      <x:c r="B12" s="138" t="str">
        <x:v>0.2</x:v>
      </x:c>
      <x:c r="C12" s="150" t="str">
        <x:v>FE ownership alignment</x:v>
      </x:c>
      <x:c r="D12" s="150" t="str">
        <x:v>M</x:v>
      </x:c>
      <x:c r="E12" s="150" t="str">
        <x:v>Added FE-01 through FE-07 mapping, recorded the FE-01 W3 auth/migration gate, and split WF3 traceability across FE-04, FE-05, and FE-06 without changing test IDs or workbook sheets.</x:v>
      </x:c>
      <x:c r="F12" s="153" t="str">
        <x:v>Jira SCRUM-56, SCRUM-58, SCRUM-106, SCRUM-107, SCRUM-108</x:v>
      </x:c>
    </x:row>
    <x:row r="13" s="142" customFormat="1" ht="48" hidden="0" customHeight="1">
      <x:c r="A13" s="143" t="str">
        <x:v>2026-09-22</x:v>
      </x:c>
      <x:c r="B13" s="138" t="str">
        <x:v>0.3</x:v>
      </x:c>
      <x:c r="C13" s="150" t="str">
        <x:v>Week 3 automated verification</x:v>
      </x:c>
      <x:c r="D13" s="150" t="str">
        <x:v>M</x:v>
      </x:c>
      <x:c r="E13" s="150" t="str">
        <x:v>Recorded the passed FE-01 foundation smoke gate and FE-04 execution/checklist acceptance evidence; recalculated Round 1 statistics without changing template case IDs or layout.</x:v>
      </x:c>
      <x:c r="F13" s="153" t="str">
        <x:v>`WorkflowBaselineTest`, `InspectionWorkflowTest`, `InspectionFixtureTest`, mobile inspection test</x:v>
      </x:c>
    </x:row>
    <x:row r="14" s="142" customFormat="1" ht="48" hidden="0" customHeight="1">
      <x:c r="A14" s="143" t="str">
        <x:v>2026-09-22</x:v>
      </x:c>
      <x:c r="B14" s="138" t="str">
        <x:v>0.4</x:v>
      </x:c>
      <x:c r="C14" s="150" t="str">
        <x:v>FE-01 scope correction</x:v>
      </x:c>
      <x:c r="D14" s="150" t="str">
        <x:v>M</x:v>
      </x:c>
      <x:c r="E14" s="150" t="str">
        <x:v>Removed MinIO from the FE-01 foundation scope and linked evidence storage/MinIO to FE-04/WF3 task T025; retained the separate infrastructure healthcheck evidence.</x:v>
      </x:c>
      <x:c r="F14" s="153" t="str">
        <x:v>Jira SCRUM-58, SCRUM-85, SCRUM-108; Report 3 SRS 3.2 and 3.5</x:v>
      </x:c>
    </x:row>
    <x:row r="15" s="142" customFormat="1" ht="60" hidden="0" customHeight="1">
      <x:c r="A15" s="143" t="str">
        <x:v>2026-09-22</x:v>
      </x:c>
      <x:c r="B15" s="138" t="str">
        <x:v>0.5</x:v>
      </x:c>
      <x:c r="C15" s="150" t="str">
        <x:v>Workbook feature-sheet mapping clarification</x:v>
      </x:c>
      <x:c r="D15" s="150" t="str">
        <x:v>M</x:v>
      </x:c>
      <x:c r="E15" s="150" t="str">
        <x:v>Clarified that Feature 1/Feature 2 are fixed workbook sheets, while FE codes identify SRS capabilities and WF IDs identify business-flow test cases; documented the WF4-to-FE-07 mapping in Feature 2.</x:v>
      </x:c>
      <x:c r="F15" s="153" t="str">
        <x:v>`README.md`, `template-layout.md`, `test-case-list.md`, feature sources, and test statistics</x:v>
      </x:c>
    </x:row>
    <x:row r="16" s="142" customFormat="1" ht="48" hidden="0" customHeight="1">
      <x:c r="A16" s="143" t="str">
        <x:v>2026-09-22</x:v>
      </x:c>
      <x:c r="B16" s="138" t="str">
        <x:v>0.6</x:v>
      </x:c>
      <x:c r="C16" s="150" t="str">
        <x:v>FE-04/FE-05 case-boundary correction</x:v>
      </x:c>
      <x:c r="D16" s="150" t="str">
        <x:v>M</x:v>
      </x:c>
      <x:c r="E16" s="150" t="str">
        <x:v>Removed finding creation from the FE-04 evidence case and assigned AI candidate verification/manual findings to FE-05, preserving the existing WF3 test IDs.</x:v>
      </x:c>
      <x:c r="F16" s="153" t="str">
        <x:v>Report 3 SRS 3.5–3.6; FE-04 and FE-05 sources; `test-case-list.md`</x:v>
      </x:c>
    </x:row>
    <x:row r="17" s="142" customFormat="1" ht="60" hidden="0" customHeight="1">
      <x:c r="A17" s="145" t="str">
        <x:v>2026-09-24</x:v>
      </x:c>
      <x:c r="B17" s="146" t="str">
        <x:v>0.7</x:v>
      </x:c>
      <x:c r="C17" s="154" t="str">
        <x:v>FE-01 role-aware frontend navigation</x:v>
      </x:c>
      <x:c r="D17" s="154" t="str">
        <x:v>M</x:v>
      </x:c>
      <x:c r="E17" s="154" t="str">
        <x:v>Recorded automated portal, screen-access, multi-role entry, legacy redirect, and denied-route verification against the existing SRS matrix; functional workbook case IDs and statistics are unchanged.</x:v>
      </x:c>
      <x:c r="F17" s="155" t="str">
        <x:v>SmartDroneInspection-Frontend: `src/app/permissions/accessPolicy.test.ts`; Report 3 SRS 3.1.3</x:v>
      </x:c>
    </x:row>
    <x:row r="18" ht="66" hidden="0" customHeight="1">
      <x:c r="A18" t="str">
        <x:v>2026-09-24</x:v>
      </x:c>
      <x:c r="B18" t="str">
        <x:v>0.8</x:v>
      </x:c>
      <x:c r="C18" s="156" t="str">
        <x:v>FE-01 browser authentication flow</x:v>
      </x:c>
      <x:c r="D18" s="156" t="str">
        <x:v>M</x:v>
      </x:c>
      <x:c r="E18" s="156" t="str">
        <x:v>Recorded frontend auth-contract, validation, session-return, and role-routing tests; implemented shared light login and Client registration without changing functional workbook case IDs or statistics.</x:v>
      </x:c>
      <x:c r="F18" s="156" t="str">
        <x:v>SmartDroneInspection-Frontend: `src/features/auth/`; Report 3 SRS 3.2; `npm.cmd test`</x:v>
      </x:c>
    </x:row>
    <x:row r="19" ht="66" hidden="0" customHeight="1">
      <x:c r="A19" t="str">
        <x:v>2026-09-24</x:v>
      </x:c>
      <x:c r="B19" t="str">
        <x:v>0.9</x:v>
      </x:c>
      <x:c r="C19" s="156" t="str">
        <x:v>Shared API response contract</x:v>
      </x:c>
      <x:c r="D19" s="156" t="str">
        <x:v>M</x:v>
      </x:c>
      <x:c r="E19" s="156" t="str">
        <x:v>Recorded automated verification for the successful JSON envelope and unchanged Problem Details, 204, and binary-stream contracts; functional workbook case IDs and totals remain unchanged.</x:v>
      </x:c>
      <x:c r="F19" s="156" t="str">
        <x:v>Backend `ApiResponseTest` and API integration tests; frontend/mobile envelope tests; Report 3 sections 4.1 and 5.2</x:v>
      </x:c>
    </x:row>
    <x:row r="20" ht="66" hidden="0" customHeight="1">
      <x:c r="A20" t="str">
        <x:v>2026-09-24</x:v>
      </x:c>
      <x:c r="B20" t="str">
        <x:v>1.0</x:v>
      </x:c>
      <x:c r="C20" s="156" t="str">
        <x:v>WF3 FE-04/FE-05/FE-06 automated verification</x:v>
      </x:c>
      <x:c r="D20" s="156" t="str">
        <x:v>M</x:v>
      </x:c>
      <x:c r="E20" s="156" t="str">
        <x:v>Recorded passing checklist/evidence, AI candidate/manual finding, and report lifecycle cases; updated test totals and coverage while preserving all workbook sheets and stable WFx IDs.</x:v>
      </x:c>
      <x:c r="F20" s="156" t="str">
        <x:v>Jira SCRUM-85–SCRUM-93; backend `mvnw verify`; frontend and mobile regression; FE-04, FE-05, and FE-06 sources</x:v>
      </x:c>
    </x:row>
    <x:row r="21" ht="52.79999923706055" hidden="0" customHeight="1">
      <x:c r="A21" t="str">
        <x:v>2026-09-25</x:v>
      </x:c>
      <x:c r="B21" t="str">
        <x:v>1.1</x:v>
      </x:c>
      <x:c r="C21" s="156" t="str">
        <x:v>WF3 S3 integration-test runner update</x:v>
      </x:c>
      <x:c r="D21" s="156" t="str">
        <x:v>M</x:v>
      </x:c>
      <x:c r="E21" s="156" t="str">
        <x:v>Recorded the unavailable MinIO CI image and successful S3Mock S3 API integration rerun; clarified that the CI mock does not replace MinIO runtime verification.</x:v>
      </x:c>
      <x:c r="F21" s="156" t="str">
        <x:v>Backend PR #44 CI runs 36090635549 and 36092639825; `EvidenceApiIntegrationTest`; `MinioEvidenceObjectStoreIntegrationTest`</x:v>
      </x:c>
    </x:row>
    <x:row r="22" ht="79.19999694824219" hidden="0" customHeight="1">
      <x:c r="A22" t="str">
        <x:v>2026-09-25</x:v>
      </x:c>
      <x:c r="B22" t="str">
        <x:v>1.2</x:v>
      </x:c>
      <x:c r="C22" s="156" t="str">
        <x:v>FE-specific Report 5 source structure</x:v>
      </x:c>
      <x:c r="D22" s="156" t="str">
        <x:v>M</x:v>
      </x:c>
      <x:c r="E22" s="156" t="str">
        <x:v>Split editable feature details into exactly eight FE-specific files, retained all 15 WFx case IDs and statuses, documented FE-08 as uncovered, and made the generated preview's per-round status formulas count the corresponding round. The original template remains unchanged.</x:v>
      </x:c>
      <x:c r="F22" s="156" t="str">
        <x:v>`README.md`, `template-layout.md`, `test-case-list.md`, `test-statistics.md`, and `03-features/`</x:v>
      </x:c>
    </x:row>
  </x:sheetData>
  <x:mergeCells>
    <x:mergeCell ref="B2:F2"/>
    <x:mergeCell ref="B4:D4"/>
    <x:mergeCell ref="B5:D5"/>
    <x:mergeCell ref="B6:D6"/>
  </x:mergeCells>
  <x:pageMargins left="0.7" right="0.7" top="0.75" bottom="0.75" header="0.3" footer="0.3"/>
  <x:drawing xmlns:r="http://schemas.openxmlformats.org/officeDocument/2006/relationships" r:id="R00b5f3dee50d4f14"/>
  <x:legacyDrawing xmlns:r="http://schemas.openxmlformats.org/officeDocument/2006/relationships" r:id="R46689731854f4b2f"/>
</x:worksheet>
</file>

<file path=xl/worksheets/sheet2.xml><?xml version="1.0" encoding="utf-8"?>
<x:worksheet xmlns:x="http://schemas.openxmlformats.org/spreadsheetml/2006/main">
  <x:sheetFormatPr baseColWidth="10" defaultColWidth="9" defaultRowHeight="13"/>
  <x:cols>
    <x:col min="1" max="1" width="1.33203125" style="1" customWidth="1"/>
    <x:col min="2" max="2" width="11.83203125" style="3" customWidth="1"/>
    <x:col min="3" max="3" width="26.5" style="4" customWidth="1"/>
    <x:col min="4" max="4" width="17.1640625" style="4" customWidth="1"/>
    <x:col min="5" max="5" width="28.1640625" style="4" customWidth="1"/>
    <x:col min="6" max="6" width="30.6640625" style="4" customWidth="1"/>
    <x:col min="7" max="16384" width="9" style="1" customWidth="0"/>
  </x:cols>
  <x:sheetData>
    <x:row r="1" ht="25">
      <x:c r="B1" s="5"/>
      <x:c r="D1" s="6" t="s">
        <x:v>13</x:v>
      </x:c>
      <x:c r="E1" s="7"/>
    </x:row>
    <x:row r="2" ht="13.5" customHeight="1">
      <x:c r="B2" s="5"/>
      <x:c r="D2" s="8"/>
      <x:c r="E2" s="8"/>
    </x:row>
    <x:row r="3">
      <x:c r="B3" s="104" t="s">
        <x:v>1</x:v>
      </x:c>
      <x:c r="C3" s="104"/>
      <x:c r="D3" s="105" t="e">
        <x:f>#REF!</x:f>
        <x:v>#REF!</x:v>
      </x:c>
      <x:c r="E3" s="105"/>
      <x:c r="F3" s="105"/>
    </x:row>
    <x:row r="4">
      <x:c r="B4" s="104" t="s">
        <x:v>3</x:v>
      </x:c>
      <x:c r="C4" s="104"/>
      <x:c r="D4" s="105" t="e">
        <x:f>#REF!</x:f>
        <x:v>#REF!</x:v>
      </x:c>
      <x:c r="E4" s="105"/>
      <x:c r="F4" s="105"/>
    </x:row>
    <x:row r="5" s="9" customFormat="1" ht="36" hidden="0" customHeight="1">
      <x:c r="B5" s="102" t="s">
        <x:v>14</x:v>
      </x:c>
      <x:c r="C5" s="102"/>
      <x:c r="D5" s="157" t="str">
        <x:v>Local/integration environment with PostgreSQL, Redis, backend API, web client, and mobile client; MinIO is used for runtime/storage verification, while S3Mock 5.2.3 is used by CI S3 API integration tests.</x:v>
      </x:c>
      <x:c r="E5" s="157"/>
      <x:c r="F5" s="157"/>
    </x:row>
    <x:row r="6">
      <x:c r="B6" s="10"/>
      <x:c r="C6" s="11"/>
      <x:c r="D6" s="11"/>
      <x:c r="E6" s="11"/>
      <x:c r="F6" s="11"/>
    </x:row>
    <x:row r="7" s="12" customFormat="1">
      <x:c r="B7" s="13"/>
      <x:c r="C7" s="14"/>
      <x:c r="D7" s="14"/>
      <x:c r="E7" s="14"/>
      <x:c r="F7" s="14"/>
    </x:row>
    <x:row r="8" s="15" customFormat="1" ht="21" customHeight="1">
      <x:c r="B8" s="16" t="s">
        <x:v>15</x:v>
      </x:c>
      <x:c r="C8" s="17" t="s">
        <x:v>16</x:v>
      </x:c>
      <x:c r="D8" s="17" t="s">
        <x:v>17</x:v>
      </x:c>
      <x:c r="E8" s="18" t="s">
        <x:v>18</x:v>
      </x:c>
      <x:c r="F8" s="19" t="s">
        <x:v>19</x:v>
      </x:c>
    </x:row>
    <x:row r="9" ht="36" hidden="0" customHeight="1">
      <x:c r="B9" s="20" t="n">
        <x:v>1</x:v>
      </x:c>
      <x:c r="C9" s="158" t="str">
        <x:v>[WF1-001] FE-02 — WF1 asset catalog and scheduling</x:v>
      </x:c>
      <x:c r="D9" s="159" t="str">
        <x:v>Feature 1</x:v>
      </x:c>
      <x:c r="E9" s="160" t="str">
        <x:v>Admin maintains an inspection category/checklist and the system exposes it for planning.</x:v>
      </x:c>
      <x:c r="F9" s="161" t="str">
        <x:v>Admin is authenticated; the category/checklist is valid and active.</x:v>
      </x:c>
    </x:row>
    <x:row r="10" ht="36" hidden="0" customHeight="1">
      <x:c r="B10" s="20" t="n">
        <x:v>2</x:v>
      </x:c>
      <x:c r="C10" s="158" t="str">
        <x:v>[WF1-002] FE-02 — WF1 asset catalog and scheduling</x:v>
      </x:c>
      <x:c r="D10" s="159" t="str">
        <x:v>Feature 1</x:v>
      </x:c>
      <x:c r="E10" s="160" t="str">
        <x:v>Client creates an asset for the client organization and can view its own asset.</x:v>
      </x:c>
      <x:c r="F10" s="161" t="str">
        <x:v>Client is active and belongs to an organization.</x:v>
      </x:c>
    </x:row>
    <x:row r="11" ht="36" hidden="0" customHeight="1">
      <x:c r="B11" s="20" t="n">
        <x:v>3</x:v>
      </x:c>
      <x:c r="C11" s="158" t="str">
        <x:v>[WF1-003] FE-02 — WF1 asset catalog and scheduling</x:v>
      </x:c>
      <x:c r="D11" s="159" t="str">
        <x:v>Feature 1</x:v>
      </x:c>
      <x:c r="E11" s="160" t="str">
        <x:v>A client cannot read or modify an asset owned by another organization.</x:v>
      </x:c>
      <x:c r="F11" s="161" t="str">
        <x:v>Two organizations exist; the client is authenticated in organization A.</x:v>
      </x:c>
    </x:row>
    <x:row r="12" ht="36" hidden="0" customHeight="1">
      <x:c r="B12" s="20" t="n">
        <x:v>4</x:v>
      </x:c>
      <x:c r="C12" s="158" t="str">
        <x:v>[WF1-004] FE-02 — WF1 asset catalog and scheduling</x:v>
      </x:c>
      <x:c r="D12" s="159" t="str">
        <x:v>Feature 1</x:v>
      </x:c>
      <x:c r="E12" s="160" t="str">
        <x:v>An active periodic schedule creates one due request for the correct asset and cycle.</x:v>
      </x:c>
      <x:c r="F12" s="161" t="str">
        <x:v>Active asset and schedule exist; the due cycle is reached.</x:v>
      </x:c>
    </x:row>
    <x:row r="13" ht="36" hidden="0" customHeight="1">
      <x:c r="B13" s="20" t="n">
        <x:v>5</x:v>
      </x:c>
      <x:c r="C13" s="158" t="str">
        <x:v>[WF2-001] FE-03 — WF2 request and quotation</x:v>
      </x:c>
      <x:c r="D13" s="159" t="str">
        <x:v>Feature 1</x:v>
      </x:c>
      <x:c r="E13" s="160" t="str">
        <x:v>Client creates an ad-hoc inspection request with scope, location, and preferred timing.</x:v>
      </x:c>
      <x:c r="F13" s="161" t="str">
        <x:v>Client owns the organization and required asset exists.</x:v>
      </x:c>
    </x:row>
    <x:row r="14" ht="36" hidden="0" customHeight="1">
      <x:c r="B14" s="20" t="n">
        <x:v>6</x:v>
      </x:c>
      <x:c r="C14" s="158" t="str">
        <x:v>[WF2-002] FE-03 — WF2 request and quotation</x:v>
      </x:c>
      <x:c r="D14" s="162" t="str">
        <x:v>Feature 1</x:v>
      </x:c>
      <x:c r="E14" s="162" t="str">
        <x:v>Service Manager prepares a versioned quotation and sends it to the client.</x:v>
      </x:c>
      <x:c r="F14" s="161" t="str">
        <x:v>A valid request is visible to the Service Manager; pricing data is complete.</x:v>
      </x:c>
    </x:row>
    <x:row r="15" ht="36" hidden="0" customHeight="1">
      <x:c r="B15" s="20" t="n">
        <x:v>7</x:v>
      </x:c>
      <x:c r="C15" s="158" t="str">
        <x:v>[WF2-003] FE-03 — WF2 order and assignment</x:v>
      </x:c>
      <x:c r="D15" s="162" t="str">
        <x:v>Feature 1</x:v>
      </x:c>
      <x:c r="E15" s="162" t="str">
        <x:v>Client approves the quotation and the system records the confirmed order and billing milestone.</x:v>
      </x:c>
      <x:c r="F15" s="161" t="str">
        <x:v>Quotation is in an approvable state; client has organization scope.</x:v>
      </x:c>
    </x:row>
    <x:row r="16" ht="48" hidden="0" customHeight="1">
      <x:c r="B16" s="20" t="n">
        <x:v>8</x:v>
      </x:c>
      <x:c r="C16" s="158" t="str">
        <x:v>[WF2-004] FE-03 — WF2 order and assignment</x:v>
      </x:c>
      <x:c r="D16" s="162" t="str">
        <x:v>Feature 1</x:v>
      </x:c>
      <x:c r="E16" s="162" t="str">
        <x:v>Service Manager assigns an Inspector; an unassigned or conflicting Inspector cannot access the task.</x:v>
      </x:c>
      <x:c r="F16" s="161" t="str">
        <x:v>Confirmed order exists; candidate Inspector is active.</x:v>
      </x:c>
    </x:row>
    <x:row r="17" ht="48" hidden="0" customHeight="1">
      <x:c r="B17" s="20" t="n">
        <x:v>9</x:v>
      </x:c>
      <x:c r="C17" s="158" t="str">
        <x:v>[WF3-001] FE-04 — WF3 inspection execution</x:v>
      </x:c>
      <x:c r="D17" s="162" t="str">
        <x:v>Feature 2</x:v>
      </x:c>
      <x:c r="E17" s="162" t="str">
        <x:v>Assigned Inspector starts an accepted inspection, loads and saves its checklist, and cannot access another Inspector's checklist.</x:v>
      </x:c>
      <x:c r="F17" s="161" t="str">
        <x:v>Active Inspector owns an accepted assignment; its inspection is in progress and checklist is published.</x:v>
      </x:c>
    </x:row>
    <x:row r="18" ht="60" hidden="0" customHeight="1">
      <x:c r="B18" s="20" t="n">
        <x:v>10</x:v>
      </x:c>
      <x:c r="C18" s="158" t="str">
        <x:v>[WF3-002] FE-04 — WF3 evidence and traceability</x:v>
      </x:c>
      <x:c r="D18" s="162" t="str">
        <x:v>Feature 2</x:v>
      </x:c>
      <x:c r="E18" s="162" t="str">
        <x:v>Inspector uploads supported evidence through the MinIO SDK adapter with server checksum/source metadata, retry-safe persistence, and scoped read access.</x:v>
      </x:c>
      <x:c r="F18" s="161" t="str">
        <x:v>Assigned inspection is in progress; valid image, PostgreSQL, and an S3-compatible test endpoint are available (S3Mock in CI; MinIO in runtime verification).</x:v>
      </x:c>
    </x:row>
    <x:row r="19" ht="60" hidden="0" customHeight="1">
      <x:c r="B19" s="20" t="n">
        <x:v>11</x:v>
      </x:c>
      <x:c r="C19" s="158" t="str">
        <x:v>[WF3-003] FE-05 — WF3 AI candidate review</x:v>
      </x:c>
      <x:c r="D19" s="162" t="str">
        <x:v>Feature 2</x:v>
      </x:c>
      <x:c r="E19" s="162" t="str">
        <x:v>Inspector reviews AI candidates or adds a manual finding; pending/rejected detections remain non-official and AI failure preserves manual entry.</x:v>
      </x:c>
      <x:c r="F19" s="161" t="str">
        <x:v>Eligible evidence exists; deterministic inference stub or manual fallback is available.</x:v>
      </x:c>
    </x:row>
    <x:row r="20" ht="60" hidden="0" customHeight="1">
      <x:c r="B20" s="20" t="n">
        <x:v>12</x:v>
      </x:c>
      <x:c r="C20" s="158" t="str">
        <x:v>[WF3-004] FE-06 — WF3 report review and release</x:v>
      </x:c>
      <x:c r="D20" s="162" t="str">
        <x:v>Feature 2</x:v>
      </x:c>
      <x:c r="E20" s="162" t="str">
        <x:v>Report progresses through independent review, Manager release, and Client accept/revision; accepted version and handoff are protected.</x:v>
      </x:c>
      <x:c r="F20" s="161" t="str">
        <x:v>Checklist, evidence, and verified findings exist; author, reviewer, Manager, and owning Client scopes are configured.</x:v>
      </x:c>
    </x:row>
    <x:row r="21" ht="36" hidden="0" customHeight="1">
      <x:c r="B21" s="25" t="n">
        <x:v>13</x:v>
      </x:c>
      <x:c r="C21" s="163" t="str">
        <x:v>[WF4-001] FE-07 — WF4 maintenance ticket</x:v>
      </x:c>
      <x:c r="D21" s="164" t="str">
        <x:v>Feature 2</x:v>
      </x:c>
      <x:c r="E21" s="164" t="str">
        <x:v>Client creates a maintenance ticket from an accepted finding and sees only its organization data.</x:v>
      </x:c>
      <x:c r="F21" s="165" t="str">
        <x:v>A released report contains an accepted finding.</x:v>
      </x:c>
    </x:row>
    <x:row r="22" ht="39.599998474121094" hidden="0" customHeight="1">
      <x:c r="B22" t="n">
        <x:v>14</x:v>
      </x:c>
      <x:c r="C22" s="156" t="str">
        <x:v>[WF4-002] FE-07 — WF4 assessment and execution</x:v>
      </x:c>
      <x:c r="D22" s="156" t="str">
        <x:v>Feature 2</x:v>
      </x:c>
      <x:c r="E22" s="156" t="str">
        <x:v>Maintenance Engineer views and updates only assigned assessment/execution work.</x:v>
      </x:c>
      <x:c r="F22" s="156" t="str">
        <x:v>Ticket is assigned to the engineer; required service scope exists.</x:v>
      </x:c>
    </x:row>
    <x:row r="23" ht="66" hidden="0" customHeight="1">
      <x:c r="B23" t="n">
        <x:v>15</x:v>
      </x:c>
      <x:c r="C23" s="156" t="str">
        <x:v>[WF4-003] FE-07 — WF4 rework and billing</x:v>
      </x:c>
      <x:c r="D23" s="156" t="str">
        <x:v>Feature 2</x:v>
      </x:c>
      <x:c r="E23" s="156" t="str">
        <x:v>Client approval, rework/reinspection, and post-service invoice/payment status follow the configured milestone.</x:v>
      </x:c>
      <x:c r="F23" s="156" t="str">
        <x:v>Maintenance work is complete or requires rework; invoice status is available.</x:v>
      </x:c>
    </x:row>
  </x:sheetData>
  <x:mergeCells>
    <x:mergeCell ref="B5:C5"/>
    <x:mergeCell ref="D5:F5"/>
    <x:mergeCell ref="B3:C3"/>
    <x:mergeCell ref="D3:F3"/>
    <x:mergeCell ref="B4:C4"/>
    <x:mergeCell ref="D4:F4"/>
  </x:mergeCells>
  <x:hyperlinks>
    <x:hyperlink ref="D9" location="Feature1!A1"/>
    <x:hyperlink ref="D10" location="Feature2!A1"/>
    <x:hyperlink ref="D11" location="Feature1!A1"/>
    <x:hyperlink ref="D12" location="Feature2!A1"/>
    <x:hyperlink ref="D13" location="Feature2!A1"/>
  </x:hyperlinks>
  <x:pageMargins left="0.7" right="0.7" top="0.75" bottom="0.75" header="0.3" footer="0.3"/>
</x:worksheet>
</file>

<file path=xl/worksheets/sheet3.xml><?xml version="1.0" encoding="utf-8"?>
<x:worksheet xmlns:x="http://schemas.openxmlformats.org/spreadsheetml/2006/main">
  <x:sheetFormatPr baseColWidth="10" defaultColWidth="9" defaultRowHeight="13"/>
  <x:cols>
    <x:col min="1" max="1" width="4.5" style="1" customWidth="1"/>
    <x:col min="2" max="2" width="18.33203125" style="1" customWidth="1"/>
    <x:col min="3" max="3" width="19.33203125" style="1" customWidth="1"/>
    <x:col min="4" max="6" width="11.6640625" style="1" customWidth="1"/>
    <x:col min="7" max="7" width="9" style="1" customWidth="0"/>
    <x:col min="8" max="8" width="35.5" style="1" customWidth="1"/>
    <x:col min="9" max="9" width="33.1640625" style="1" customWidth="1"/>
    <x:col min="10" max="16384" width="9" style="1" customWidth="0"/>
  </x:cols>
  <x:sheetData>
    <x:row r="1" ht="25.5" customHeight="1">
      <x:c r="B1" s="108" t="s">
        <x:v>20</x:v>
      </x:c>
      <x:c r="C1" s="108"/>
      <x:c r="D1" s="108"/>
      <x:c r="E1" s="108"/>
      <x:c r="F1" s="108"/>
      <x:c r="G1" s="108"/>
      <x:c r="H1" s="108"/>
    </x:row>
    <x:row r="2" ht="14.25" customHeight="1">
      <x:c r="A2" s="52"/>
      <x:c r="B2" s="52"/>
      <x:c r="C2" s="53"/>
      <x:c r="D2" s="53"/>
      <x:c r="E2" s="53"/>
      <x:c r="F2" s="53"/>
      <x:c r="G2" s="53"/>
      <x:c r="H2" s="54"/>
    </x:row>
    <x:row r="3" ht="12" customHeight="1">
      <x:c r="B3" s="2" t="s">
        <x:v>1</x:v>
      </x:c>
      <x:c r="C3" s="105" t="str">
        <x:v>SmartDroneInspection</x:v>
      </x:c>
      <x:c r="D3" s="105"/>
      <x:c r="E3" s="106" t="s">
        <x:v>2</x:v>
      </x:c>
      <x:c r="F3" s="106"/>
      <x:c r="G3" s="55"/>
      <x:c r="H3" s="56"/>
    </x:row>
    <x:row r="4" ht="12" customHeight="1">
      <x:c r="B4" s="2" t="s">
        <x:v>3</x:v>
      </x:c>
      <x:c r="C4" s="105" t="str">
        <x:v>SEP490 — confirm with project owner</x:v>
      </x:c>
      <x:c r="D4" s="105"/>
      <x:c r="E4" s="106" t="s">
        <x:v>21</x:v>
      </x:c>
      <x:c r="F4" s="106"/>
      <x:c r="G4" s="55"/>
      <x:c r="H4" s="56"/>
    </x:row>
    <x:row r="5" ht="12" customHeight="1">
      <x:c r="B5" s="57" t="s">
        <x:v>5</x:v>
      </x:c>
      <x:c r="C5" s="105" t="str">
        <x:v>TBD — enter document code</x:v>
      </x:c>
      <x:c r="D5" s="105"/>
      <x:c r="E5" s="106" t="s">
        <x:v>4</x:v>
      </x:c>
      <x:c r="F5" s="106"/>
      <x:c r="G5" s="55"/>
      <x:c r="H5" s="58" t="str">
        <x:v>2026-09-25</x:v>
      </x:c>
    </x:row>
    <x:row r="6" ht="24" hidden="0" customHeight="1">
      <x:c r="A6" s="52"/>
      <x:c r="B6" s="57" t="s">
        <x:v>22</x:v>
      </x:c>
      <x:c r="C6" s="157" t="str">
        <x:v>Week 3 verification; last updated 2026-09-25. FE-01 supporting gates are excluded from the functional total. FE-08 has no assigned case in this baseline.</x:v>
      </x:c>
      <x:c r="D6" s="157"/>
      <x:c r="E6" s="157"/>
      <x:c r="F6" s="157"/>
      <x:c r="G6" s="157"/>
      <x:c r="H6" s="157"/>
    </x:row>
    <x:row r="7" ht="14.25" customHeight="1">
      <x:c r="A7" s="52"/>
      <x:c r="B7" s="59"/>
      <x:c r="C7" s="60"/>
      <x:c r="D7" s="53"/>
      <x:c r="E7" s="53"/>
      <x:c r="F7" s="53"/>
      <x:c r="G7" s="53"/>
      <x:c r="H7" s="54"/>
    </x:row>
    <x:row r="8">
      <x:c r="B8" s="59"/>
      <x:c r="C8" s="60"/>
      <x:c r="D8" s="53"/>
      <x:c r="E8" s="53"/>
      <x:c r="F8" s="53"/>
      <x:c r="G8" s="53"/>
      <x:c r="H8" s="54"/>
    </x:row>
    <x:row r="9">
      <x:c r="A9" s="61"/>
      <x:c r="B9" s="61"/>
      <x:c r="C9" s="61"/>
      <x:c r="D9" s="61"/>
      <x:c r="E9" s="61"/>
      <x:c r="F9" s="61"/>
      <x:c r="G9" s="61"/>
      <x:c r="H9" s="61"/>
    </x:row>
    <x:row r="10" ht="14">
      <x:c r="A10" s="62"/>
      <x:c r="B10" s="63" t="s">
        <x:v>15</x:v>
      </x:c>
      <x:c r="C10" s="64" t="s">
        <x:v>23</x:v>
      </x:c>
      <x:c r="D10" s="65" t="s">
        <x:v>24</x:v>
      </x:c>
      <x:c r="E10" s="64" t="s">
        <x:v>25</x:v>
      </x:c>
      <x:c r="F10" s="64" t="s">
        <x:v>26</x:v>
      </x:c>
      <x:c r="G10" s="66" t="s">
        <x:v>27</x:v>
      </x:c>
      <x:c r="H10" s="67" t="s">
        <x:v>28</x:v>
      </x:c>
    </x:row>
    <x:row r="11" ht="13" hidden="0" customHeight="1">
      <x:c r="A11" s="68"/>
      <x:c r="B11" s="69">
        <x:v>1</x:v>
      </x:c>
      <x:c r="C11" s="166" t="str">
        <x:f>'Feature 1'!B2</x:f>
        <x:v>FE-02 + FE-03</x:v>
      </x:c>
      <x:c r="D11" s="71" t="n">
        <x:f>'Feature 1'!B6</x:f>
        <x:v>0</x:v>
      </x:c>
      <x:c r="E11" s="71" t="n">
        <x:f>'Feature 1'!C6</x:f>
        <x:v>0</x:v>
      </x:c>
      <x:c r="F11" s="71" t="n">
        <x:f>'Feature 1'!D6</x:f>
        <x:v>8</x:v>
      </x:c>
      <x:c r="G11" s="71" t="n">
        <x:f>'Feature 1'!E6</x:f>
        <x:v>0</x:v>
      </x:c>
      <x:c r="H11" s="73" t="n">
        <x:f>'Feature 1'!B4</x:f>
        <x:v>8</x:v>
      </x:c>
    </x:row>
    <x:row r="12" ht="13" hidden="0" customHeight="1">
      <x:c r="A12" s="68"/>
      <x:c r="B12" s="69">
        <x:v>2</x:v>
      </x:c>
      <x:c r="C12" s="166" t="str">
        <x:f>'Feature 2'!B2</x:f>
        <x:v>FE-04–FE-07</x:v>
      </x:c>
      <x:c r="D12" s="71" t="n">
        <x:f>'Feature 2'!B6</x:f>
        <x:v>4</x:v>
      </x:c>
      <x:c r="E12" s="71" t="n">
        <x:f>'Feature 2'!C6</x:f>
        <x:v>0</x:v>
      </x:c>
      <x:c r="F12" s="71" t="n">
        <x:f>'Feature 2'!D6</x:f>
        <x:v>3</x:v>
      </x:c>
      <x:c r="G12" s="71" t="n">
        <x:f>'Feature 2'!E6</x:f>
        <x:v>0</x:v>
      </x:c>
      <x:c r="H12" s="71" t="n">
        <x:f>'Feature 2'!B4</x:f>
        <x:v>7</x:v>
      </x:c>
    </x:row>
    <x:row r="13">
      <x:c r="A13" s="68"/>
      <x:c r="B13" s="69"/>
      <x:c r="C13" s="70"/>
      <x:c r="D13" s="71"/>
      <x:c r="E13" s="71"/>
      <x:c r="F13" s="71"/>
      <x:c r="G13" s="72"/>
      <x:c r="H13" s="73"/>
    </x:row>
    <x:row r="14">
      <x:c r="A14" s="68"/>
      <x:c r="B14" s="74"/>
      <x:c r="C14" s="75" t="s">
        <x:v>29</x:v>
      </x:c>
      <x:c r="D14" s="76" t="n">
        <x:f>SUM(D9:D13)</x:f>
        <x:v>4</x:v>
      </x:c>
      <x:c r="E14" s="76" t="n">
        <x:f>SUM(E9:E13)</x:f>
        <x:v>0</x:v>
      </x:c>
      <x:c r="F14" s="76" t="n">
        <x:f>SUM(F9:F13)</x:f>
        <x:v>11</x:v>
      </x:c>
      <x:c r="G14" s="76" t="n">
        <x:f>SUM(G9:G13)</x:f>
        <x:v>0</x:v>
      </x:c>
      <x:c r="H14" s="77" t="n">
        <x:f>SUM(H9:H13)</x:f>
        <x:v>15</x:v>
      </x:c>
    </x:row>
    <x:row r="15">
      <x:c r="A15" s="61"/>
      <x:c r="B15" s="78"/>
      <x:c r="C15" s="61"/>
      <x:c r="D15" s="79"/>
      <x:c r="E15" s="80"/>
      <x:c r="F15" s="80"/>
      <x:c r="G15" s="80"/>
      <x:c r="H15" s="80"/>
    </x:row>
    <x:row r="16">
      <x:c r="A16" s="61"/>
      <x:c r="B16" s="61"/>
      <x:c r="C16" s="81" t="s">
        <x:v>30</x:v>
      </x:c>
      <x:c r="D16" s="61"/>
      <x:c r="E16" s="82" t="n">
        <x:f>(D14+E14)*100/(H14-G14)</x:f>
        <x:v>26.666666666666668</x:v>
      </x:c>
      <x:c r="F16" s="61" t="s">
        <x:v>31</x:v>
      </x:c>
      <x:c r="G16" s="61"/>
      <x:c r="H16" s="36"/>
    </x:row>
    <x:row r="17">
      <x:c r="A17" s="61"/>
      <x:c r="B17" s="61"/>
      <x:c r="C17" s="81" t="s">
        <x:v>32</x:v>
      </x:c>
      <x:c r="D17" s="61"/>
      <x:c r="E17" s="82" t="n">
        <x:f>D14*100/(H14-G14)</x:f>
        <x:v>26.666666666666668</x:v>
      </x:c>
      <x:c r="F17" s="61" t="s">
        <x:v>31</x:v>
      </x:c>
      <x:c r="G17" s="61"/>
      <x:c r="H17" s="36"/>
    </x:row>
    <x:row r="18">
      <x:c r="C18" s="61"/>
      <x:c r="D18" s="61"/>
    </x:row>
  </x:sheetData>
  <x:mergeCells>
    <x:mergeCell ref="C5:D5"/>
    <x:mergeCell ref="E5:F5"/>
    <x:mergeCell ref="C6:H6"/>
    <x:mergeCell ref="B1:H1"/>
    <x:mergeCell ref="C3:D3"/>
    <x:mergeCell ref="E3:F3"/>
    <x:mergeCell ref="C4:D4"/>
    <x:mergeCell ref="E4:F4"/>
  </x:mergeCells>
  <x:pageMargins left="0.7" right="0.7" top="0.75" bottom="0.75" header="0.3" footer="0.3"/>
</x:worksheet>
</file>

<file path=xl/worksheets/sheet4.xml><?xml version="1.0" encoding="utf-8"?>
<x:worksheet xmlns:x="http://schemas.openxmlformats.org/spreadsheetml/2006/main">
  <x:sheetViews>
    <x:sheetView workbookViewId="0">
      <x:pane ySplit="10" topLeftCell="A11" activePane="bottomLeft" state="frozen"/>
    </x:sheetView>
  </x:sheetViews>
  <x:sheetFormatPr baseColWidth="10" defaultColWidth="9" defaultRowHeight="13"/>
  <x:cols>
    <x:col min="1" max="1" width="17" style="1" customWidth="1"/>
    <x:col min="2" max="2" width="34.5" style="1" customWidth="1"/>
    <x:col min="3" max="3" width="34.1640625" style="1" customWidth="1"/>
    <x:col min="4" max="4" width="34.6640625" style="1" customWidth="1"/>
    <x:col min="5" max="5" width="28.33203125" style="1" customWidth="1"/>
    <x:col min="6" max="6" width="9.33203125" style="1" customWidth="1"/>
    <x:col min="7" max="7" width="10.6640625" style="1" customWidth="1"/>
    <x:col min="8" max="8" width="7" style="29" customWidth="1"/>
    <x:col min="9" max="9" width="9.33203125" style="1" customWidth="1"/>
    <x:col min="10" max="10" width="10.6640625" style="1" customWidth="1"/>
    <x:col min="11" max="11" width="7" style="29" customWidth="1"/>
    <x:col min="12" max="12" width="9.33203125" style="1" customWidth="1"/>
    <x:col min="13" max="13" width="10.6640625" style="1" customWidth="1"/>
    <x:col min="14" max="14" width="7" style="29" customWidth="1"/>
    <x:col min="15" max="15" width="28.6640625" style="29" customWidth="1"/>
    <x:col min="16" max="16" width="10.1640625" style="1" customWidth="1"/>
    <x:col min="17" max="17" width="8.1640625" style="30" customWidth="1"/>
    <x:col min="18" max="18" width="7.6640625" style="1" hidden="1" customWidth="1"/>
    <x:col min="19" max="16384" width="9" style="1" customWidth="0"/>
  </x:cols>
  <x:sheetData>
    <x:row r="1" ht="14"/>
    <x:row r="2" s="32" customFormat="1" ht="13" hidden="0" customHeight="1">
      <x:c r="A2" s="99" t="s">
        <x:v>33</x:v>
      </x:c>
      <x:c r="B2" s="167" t="str">
        <x:v>FE-02 + FE-03</x:v>
      </x:c>
      <x:c r="C2" s="109"/>
      <x:c r="D2" s="109"/>
      <x:c r="E2" s="110"/>
      <x:c r="F2" s="89"/>
      <x:c r="G2" s="83"/>
      <x:c r="H2" s="33"/>
      <x:c r="I2" s="89"/>
      <x:c r="J2" s="83"/>
      <x:c r="K2" s="33"/>
      <x:c r="L2" s="89"/>
      <x:c r="M2" s="83"/>
      <x:c r="N2" s="33"/>
      <x:c r="O2" s="33"/>
      <x:c r="P2" s="9"/>
      <x:c r="Q2" s="31"/>
      <x:c r="R2" s="32" t="s">
        <x:v>24</x:v>
      </x:c>
    </x:row>
    <x:row r="3" s="32" customFormat="1" ht="13" hidden="0" customHeight="1">
      <x:c r="A3" s="100" t="s">
        <x:v>34</x:v>
      </x:c>
      <x:c r="B3" s="168" t="str">
        <x:v>Organization-scoped assets and schedules; periodic/ad-hoc requests, quotation and order confirmation, and scoped service assignment.</x:v>
      </x:c>
      <x:c r="C3" s="111"/>
      <x:c r="D3" s="111"/>
      <x:c r="E3" s="112"/>
      <x:c r="F3" s="89"/>
      <x:c r="G3" s="83"/>
      <x:c r="H3" s="33"/>
      <x:c r="I3" s="89"/>
      <x:c r="J3" s="83"/>
      <x:c r="K3" s="33"/>
      <x:c r="L3" s="89"/>
      <x:c r="M3" s="83"/>
      <x:c r="N3" s="33"/>
      <x:c r="O3" s="33"/>
      <x:c r="P3" s="9"/>
      <x:c r="Q3" s="31"/>
      <x:c r="R3" s="32" t="s">
        <x:v>25</x:v>
      </x:c>
    </x:row>
    <x:row r="4" s="32" customFormat="1" ht="18" customHeight="1">
      <x:c r="A4" s="100" t="s">
        <x:v>35</x:v>
      </x:c>
      <x:c r="B4" s="111" t="n">
        <x:v>8</x:v>
      </x:c>
      <x:c r="C4" s="111"/>
      <x:c r="D4" s="111"/>
      <x:c r="E4" s="112"/>
      <x:c r="F4" s="89"/>
      <x:c r="G4" s="83"/>
      <x:c r="H4" s="33"/>
      <x:c r="I4" s="89"/>
      <x:c r="J4" s="83"/>
      <x:c r="K4" s="33"/>
      <x:c r="L4" s="89"/>
      <x:c r="M4" s="83"/>
      <x:c r="N4" s="33"/>
      <x:c r="O4" s="33"/>
      <x:c r="P4" s="9"/>
      <x:c r="Q4" s="31"/>
      <x:c r="R4" s="32" t="s">
        <x:v>26</x:v>
      </x:c>
    </x:row>
    <x:row r="5" s="32" customFormat="1" ht="19.5" customHeight="1">
      <x:c r="A5" s="93" t="s">
        <x:v>36</x:v>
      </x:c>
      <x:c r="B5" s="91" t="s">
        <x:v>24</x:v>
      </x:c>
      <x:c r="C5" s="91" t="s">
        <x:v>25</x:v>
      </x:c>
      <x:c r="D5" s="91" t="s">
        <x:v>26</x:v>
      </x:c>
      <x:c r="E5" s="94" t="s">
        <x:v>27</x:v>
      </x:c>
      <x:c r="F5" s="84"/>
      <x:c r="G5" s="84"/>
      <x:c r="H5" s="34"/>
      <x:c r="I5" s="84"/>
      <x:c r="J5" s="84"/>
      <x:c r="K5" s="34"/>
      <x:c r="L5" s="84"/>
      <x:c r="M5" s="84"/>
      <x:c r="N5" s="34"/>
      <x:c r="O5" s="34"/>
      <x:c r="P5" s="34"/>
      <x:c r="Q5" s="35"/>
      <x:c r="R5" s="32" t="s">
        <x:v>27</x:v>
      </x:c>
    </x:row>
    <x:row r="6" s="32" customFormat="1" ht="15" customHeight="1">
      <x:c r="A6" s="93" t="s">
        <x:v>37</x:v>
      </x:c>
      <x:c r="B6" s="92" t="n">
        <x:f>COUNTIF($F$10:$F$998,B$5)</x:f>
        <x:v>0</x:v>
      </x:c>
      <x:c r="C6" s="92" t="n">
        <x:f t="shared" ref="C6:E6" si="0">COUNTIF($F$10:$F$998,C$5)</x:f>
        <x:v>0</x:v>
      </x:c>
      <x:c r="D6" s="92" t="n">
        <x:f t="shared" si="0">COUNTIF($F$10:$F$998,D$5)</x:f>
        <x:v>8</x:v>
      </x:c>
      <x:c r="E6" s="98" t="n">
        <x:f t="shared" si="0">COUNTIF($F$10:$F$998,E$5)</x:f>
        <x:v>0</x:v>
      </x:c>
      <x:c r="F6" s="85"/>
      <x:c r="G6" s="85"/>
      <x:c r="H6" s="34"/>
      <x:c r="I6" s="85"/>
      <x:c r="J6" s="85"/>
      <x:c r="K6" s="34"/>
      <x:c r="L6" s="85"/>
      <x:c r="M6" s="85"/>
      <x:c r="N6" s="34"/>
      <x:c r="O6" s="34"/>
      <x:c r="P6" s="34"/>
      <x:c r="Q6" s="35"/>
    </x:row>
    <x:row r="7" s="32" customFormat="1" ht="15" customHeight="1">
      <x:c r="A7" s="93" t="s">
        <x:v>38</x:v>
      </x:c>
      <x:c r="B7" s="92" t="n">
        <x:f>COUNTIF($I$10:$I$998,B$5)</x:f>
        <x:v>0</x:v>
      </x:c>
      <x:c r="C7" s="92" t="n">
        <x:f t="shared" ref="C7:E7" si="1">COUNTIF($I$10:$I$998,C$5)</x:f>
        <x:v>0</x:v>
      </x:c>
      <x:c r="D7" s="92" t="n">
        <x:f t="shared" si="1">COUNTIF($I$10:$I$998,D$5)</x:f>
        <x:v>8</x:v>
      </x:c>
      <x:c r="E7" s="98" t="n">
        <x:f t="shared" si="1">COUNTIF($I$10:$I$998,E$5)</x:f>
        <x:v>0</x:v>
      </x:c>
      <x:c r="F7" s="85"/>
      <x:c r="G7" s="85"/>
      <x:c r="H7" s="34"/>
      <x:c r="I7" s="85"/>
      <x:c r="J7" s="85"/>
      <x:c r="K7" s="34"/>
      <x:c r="L7" s="85"/>
      <x:c r="M7" s="85"/>
      <x:c r="N7" s="34"/>
      <x:c r="O7" s="34"/>
      <x:c r="P7" s="34"/>
      <x:c r="Q7" s="35"/>
    </x:row>
    <x:row r="8" s="32" customFormat="1" ht="15" customHeight="1">
      <x:c r="A8" s="95" t="s">
        <x:v>39</x:v>
      </x:c>
      <x:c r="B8" s="96" t="n">
        <x:f>COUNTIF($L$10:$L$998,B$5)</x:f>
        <x:v>0</x:v>
      </x:c>
      <x:c r="C8" s="96" t="n">
        <x:f t="shared" ref="C8:E8" si="2">COUNTIF($L$10:$L$998,C$5)</x:f>
        <x:v>0</x:v>
      </x:c>
      <x:c r="D8" s="96" t="n">
        <x:f t="shared" si="2">COUNTIF($L$10:$L$998,D$5)</x:f>
        <x:v>8</x:v>
      </x:c>
      <x:c r="E8" s="97" t="n">
        <x:f t="shared" si="2">COUNTIF($L$10:$L$998,E$5)</x:f>
        <x:v>0</x:v>
      </x:c>
      <x:c r="F8" s="85"/>
      <x:c r="G8" s="85"/>
      <x:c r="H8" s="34"/>
      <x:c r="I8" s="85"/>
      <x:c r="J8" s="85"/>
      <x:c r="K8" s="34"/>
      <x:c r="L8" s="85"/>
      <x:c r="M8" s="85"/>
      <x:c r="N8" s="34"/>
      <x:c r="O8" s="34"/>
      <x:c r="P8" s="34"/>
      <x:c r="Q8" s="35"/>
    </x:row>
    <x:row r="9" s="32" customFormat="1" ht="15" customHeight="1">
      <x:c r="A9" s="34"/>
      <x:c r="B9" s="34"/>
      <x:c r="C9" s="34"/>
      <x:c r="D9" s="34"/>
      <x:c r="E9" s="34"/>
      <x:c r="F9" s="36"/>
      <x:c r="G9" s="34"/>
      <x:c r="H9" s="34"/>
      <x:c r="I9" s="36"/>
      <x:c r="J9" s="34"/>
      <x:c r="K9" s="34"/>
      <x:c r="L9" s="36"/>
      <x:c r="M9" s="34"/>
      <x:c r="N9" s="34"/>
      <x:c r="O9" s="34"/>
      <x:c r="P9" s="34"/>
      <x:c r="Q9" s="35"/>
    </x:row>
    <x:row r="10" s="32" customFormat="1" ht="25.5" customHeight="1">
      <x:c r="A10" s="90" t="s">
        <x:v>40</x:v>
      </x:c>
      <x:c r="B10" s="90" t="s">
        <x:v>41</x:v>
      </x:c>
      <x:c r="C10" s="90" t="s">
        <x:v>42</x:v>
      </x:c>
      <x:c r="D10" s="90" t="s">
        <x:v>43</x:v>
      </x:c>
      <x:c r="E10" s="90" t="s">
        <x:v>44</x:v>
      </x:c>
      <x:c r="F10" s="90" t="s">
        <x:v>37</x:v>
      </x:c>
      <x:c r="G10" s="90" t="s">
        <x:v>45</x:v>
      </x:c>
      <x:c r="H10" s="90" t="s">
        <x:v>46</x:v>
      </x:c>
      <x:c r="I10" s="90" t="s">
        <x:v>38</x:v>
      </x:c>
      <x:c r="J10" s="90" t="s">
        <x:v>45</x:v>
      </x:c>
      <x:c r="K10" s="90" t="s">
        <x:v>46</x:v>
      </x:c>
      <x:c r="L10" s="90" t="s">
        <x:v>39</x:v>
      </x:c>
      <x:c r="M10" s="90" t="s">
        <x:v>45</x:v>
      </x:c>
      <x:c r="N10" s="90" t="s">
        <x:v>46</x:v>
      </x:c>
      <x:c r="O10" s="90" t="s">
        <x:v>47</x:v>
      </x:c>
      <x:c r="Q10" s="37"/>
    </x:row>
    <x:row r="11" s="32" customFormat="1" ht="15.75" customHeight="1">
      <x:c r="A11" s="86" t="str">
        <x:v>FE-02 — Asset Registry &amp; Inspection Schedule</x:v>
      </x:c>
      <x:c r="B11" s="86"/>
      <x:c r="C11" s="87"/>
      <x:c r="D11" s="87"/>
      <x:c r="E11" s="87"/>
      <x:c r="F11" s="87"/>
      <x:c r="G11" s="87"/>
      <x:c r="H11" s="87"/>
      <x:c r="I11" s="87"/>
      <x:c r="J11" s="87"/>
      <x:c r="K11" s="87"/>
      <x:c r="L11" s="87"/>
      <x:c r="M11" s="87"/>
      <x:c r="N11" s="87"/>
      <x:c r="O11" s="88"/>
      <x:c r="Q11" s="41"/>
    </x:row>
    <x:row r="12" s="47" customFormat="1" ht="108" hidden="0" customHeight="1">
      <x:c r="A12" s="171" t="str">
        <x:v>WF1-001</x:v>
      </x:c>
      <x:c r="B12" s="157" t="str">
        <x:v>Admin publishes an inspection category and checklist.</x:v>
      </x:c>
      <x:c r="C12" s="157" t="str">
        <x:v>Sign in as Admin; create or update the category and checklist; activate it; read it from planning.</x:v>
      </x:c>
      <x:c r="D12" s="172" t="str">
        <x:v>Only a valid active category/checklist is available for planning and its version is retained.</x:v>
      </x:c>
      <x:c r="E12" s="172" t="str">
        <x:v>Admin is active; checklist validation passes.</x:v>
      </x:c>
      <x:c r="F12" s="171" t="str">
        <x:v>Pending</x:v>
      </x:c>
      <x:c r="G12" s="169"/>
      <x:c r="H12" s="171"/>
      <x:c r="I12" s="171" t="str">
        <x:v>Pending</x:v>
      </x:c>
      <x:c r="J12" s="169"/>
      <x:c r="K12" s="171"/>
      <x:c r="L12" s="171" t="str">
        <x:v>Pending</x:v>
      </x:c>
      <x:c r="M12" s="169"/>
      <x:c r="N12" s="171"/>
      <x:c r="O12" s="171"/>
      <x:c r="Q12" s="46"/>
    </x:row>
    <x:row r="13" ht="24" hidden="0" customHeight="1">
      <x:c r="A13" s="171" t="str">
        <x:v>WF1-002</x:v>
      </x:c>
      <x:c r="B13" s="171" t="str">
        <x:v>Client creates an asset for its own organization.</x:v>
      </x:c>
      <x:c r="C13" s="171" t="str">
        <x:v>Sign in as Client; submit asset identity and location; save; open the asset list.</x:v>
      </x:c>
      <x:c r="D13" s="173" t="str">
        <x:v>Asset is created once, linked to the client organization, and visible to that organization.</x:v>
      </x:c>
      <x:c r="E13" s="173" t="str">
        <x:v>Client is active and has organization scope.</x:v>
      </x:c>
      <x:c r="F13" s="171" t="str">
        <x:v>Pending</x:v>
      </x:c>
      <x:c r="G13" s="169"/>
      <x:c r="H13" s="171"/>
      <x:c r="I13" s="171" t="str">
        <x:v>Pending</x:v>
      </x:c>
      <x:c r="J13" s="169"/>
      <x:c r="K13" s="171"/>
      <x:c r="L13" s="171" t="str">
        <x:v>Pending</x:v>
      </x:c>
      <x:c r="M13" s="169"/>
      <x:c r="N13" s="171"/>
      <x:c r="O13" s="171"/>
      <x:c r="Q13" s="46"/>
    </x:row>
    <x:row r="14" ht="36" hidden="0" customHeight="1">
      <x:c r="A14" s="171" t="str">
        <x:v>WF1-003</x:v>
      </x:c>
      <x:c r="B14" s="171" t="str">
        <x:v>Client cannot access another organization's asset.</x:v>
      </x:c>
      <x:c r="C14" s="171" t="str">
        <x:v>Sign in as a client from organization A; request an asset owned by organization B; try read and update operations.</x:v>
      </x:c>
      <x:c r="D14" s="173" t="str">
        <x:v>The API denies both operations without exposing asset details.</x:v>
      </x:c>
      <x:c r="E14" s="173" t="str">
        <x:v>Organizations A and B and their assets exist.</x:v>
      </x:c>
      <x:c r="F14" s="171" t="str">
        <x:v>Pending</x:v>
      </x:c>
      <x:c r="G14" s="169"/>
      <x:c r="H14" s="171"/>
      <x:c r="I14" s="171" t="str">
        <x:v>Pending</x:v>
      </x:c>
      <x:c r="J14" s="169"/>
      <x:c r="K14" s="171"/>
      <x:c r="L14" s="171" t="str">
        <x:v>Pending</x:v>
      </x:c>
      <x:c r="M14" s="169"/>
      <x:c r="N14" s="171"/>
      <x:c r="O14" s="171"/>
      <x:c r="Q14" s="46"/>
    </x:row>
    <x:row r="15" s="32" customFormat="1" ht="36" hidden="0" customHeight="1">
      <x:c r="A15" s="174" t="str">
        <x:v>WF1-004</x:v>
      </x:c>
      <x:c r="B15" s="175" t="str">
        <x:v>Periodic schedule creates one due inspection request.</x:v>
      </x:c>
      <x:c r="C15" s="176" t="str">
        <x:v>Create an active schedule; advance to its due cycle; run the scheduler twice; inspect requests.</x:v>
      </x:c>
      <x:c r="D15" s="176" t="str">
        <x:v>Exactly one request is created for the asset and cycle; a retry does not duplicate it.</x:v>
      </x:c>
      <x:c r="E15" s="176" t="str">
        <x:v>Active asset, schedule, checklist, and scheduler are available.</x:v>
      </x:c>
      <x:c r="F15" s="176" t="str">
        <x:v>Pending</x:v>
      </x:c>
      <x:c r="G15" s="177"/>
      <x:c r="H15" s="176"/>
      <x:c r="I15" s="176" t="str">
        <x:v>Pending</x:v>
      </x:c>
      <x:c r="J15" s="177"/>
      <x:c r="K15" s="176"/>
      <x:c r="L15" s="176" t="str">
        <x:v>Pending</x:v>
      </x:c>
      <x:c r="M15" s="177"/>
      <x:c r="N15" s="176"/>
      <x:c r="O15" s="178"/>
      <x:c r="P15"/>
      <x:c r="Q15" s="41"/>
      <x:c r="R15"/>
    </x:row>
    <x:row r="16" ht="14">
      <x:c r="A16" s="42" t="str">
        <x:v>FE-03 — Inspection Request &amp; Work Assignment</x:v>
      </x:c>
      <x:c r="B16" s="42"/>
      <x:c r="C16" s="42"/>
      <x:c r="D16" s="42"/>
      <x:c r="E16" s="42"/>
      <x:c r="F16" s="42"/>
      <x:c r="G16" s="42"/>
      <x:c r="H16" s="42"/>
      <x:c r="I16" s="42"/>
      <x:c r="J16" s="42"/>
      <x:c r="K16" s="42"/>
      <x:c r="L16" s="42"/>
      <x:c r="M16" s="42"/>
      <x:c r="N16" s="42"/>
      <x:c r="O16" s="45"/>
      <x:c r="P16"/>
      <x:c r="Q16" s="46"/>
      <x:c r="R16"/>
    </x:row>
    <x:row r="17" ht="36" hidden="0" customHeight="1">
      <x:c r="A17" s="171" t="str">
        <x:v>WF2-001</x:v>
      </x:c>
      <x:c r="B17" s="171" t="str">
        <x:v>Client creates an ad-hoc inspection request.</x:v>
      </x:c>
      <x:c r="C17" s="171" t="str">
        <x:v>Sign in as Client; select an owned asset; enter scope, location, and preferred timing; submit.</x:v>
      </x:c>
      <x:c r="D17" s="171" t="str">
        <x:v>Request is accepted with an auditable creator and organization; invalid scope is rejected.</x:v>
      </x:c>
      <x:c r="E17" s="171" t="str">
        <x:v>Owned asset exists; client is active.</x:v>
      </x:c>
      <x:c r="F17" s="171" t="str">
        <x:v>Pending</x:v>
      </x:c>
      <x:c r="G17" s="181"/>
      <x:c r="H17" s="182"/>
      <x:c r="I17" s="171" t="str">
        <x:v>Pending</x:v>
      </x:c>
      <x:c r="J17" s="181"/>
      <x:c r="K17" s="182"/>
      <x:c r="L17" s="171" t="str">
        <x:v>Pending</x:v>
      </x:c>
      <x:c r="M17" s="181"/>
      <x:c r="N17" s="182"/>
      <x:c r="O17" s="182"/>
      <x:c r="Q17" s="51"/>
    </x:row>
    <x:row r="18" s="32" customFormat="1" ht="36" hidden="0" customHeight="1">
      <x:c r="A18" s="174" t="str">
        <x:v>WF2-002</x:v>
      </x:c>
      <x:c r="B18" s="175" t="str">
        <x:v>Service Manager prepares and sends a quotation.</x:v>
      </x:c>
      <x:c r="C18" s="176" t="str">
        <x:v>Sign in as Service Manager; open the request; add price, scope, and validity; save a version; send it.</x:v>
      </x:c>
      <x:c r="D18" s="176" t="str">
        <x:v>A versioned quotation is stored and visible to the correct client; prior versions remain traceable.</x:v>
      </x:c>
      <x:c r="E18" s="176" t="str">
        <x:v>Request is actionable; manager is active.</x:v>
      </x:c>
      <x:c r="F18" s="176" t="str">
        <x:v>Pending</x:v>
      </x:c>
      <x:c r="G18" s="177"/>
      <x:c r="H18" s="176"/>
      <x:c r="I18" s="176" t="str">
        <x:v>Pending</x:v>
      </x:c>
      <x:c r="J18" s="177"/>
      <x:c r="K18" s="176"/>
      <x:c r="L18" s="176" t="str">
        <x:v>Pending</x:v>
      </x:c>
      <x:c r="M18" s="177"/>
      <x:c r="N18" s="176"/>
      <x:c r="O18" s="178"/>
      <x:c r="P18"/>
      <x:c r="Q18" s="41"/>
      <x:c r="R18"/>
    </x:row>
    <x:row r="19" ht="36" hidden="0" customHeight="1">
      <x:c r="A19" s="171" t="str">
        <x:v>WF2-003</x:v>
      </x:c>
      <x:c r="B19" s="171" t="str">
        <x:v>Client approves a quotation and confirms the service order.</x:v>
      </x:c>
      <x:c r="C19" s="171" t="str">
        <x:v>Sign in as Client; review the latest quotation; approve it; open the order and billing status.</x:v>
      </x:c>
      <x:c r="D19" s="171" t="str">
        <x:v>The approved quotation becomes the confirmed order; the first service billing milestone is recorded.</x:v>
      </x:c>
      <x:c r="E19" s="171" t="str">
        <x:v>Quotation is in an approvable state; client owns the request.</x:v>
      </x:c>
      <x:c r="F19" s="171" t="str">
        <x:v>Pending</x:v>
      </x:c>
      <x:c r="G19" s="169"/>
      <x:c r="H19" s="171"/>
      <x:c r="I19" s="171" t="str">
        <x:v>Pending</x:v>
      </x:c>
      <x:c r="J19" s="169"/>
      <x:c r="K19" s="171"/>
      <x:c r="L19" s="171" t="str">
        <x:v>Pending</x:v>
      </x:c>
      <x:c r="M19" s="169"/>
      <x:c r="N19" s="171"/>
      <x:c r="O19" s="171"/>
      <x:c r="Q19" s="46"/>
    </x:row>
    <x:row r="20" ht="39.599998474121094" hidden="0" customHeight="1">
      <x:c r="A20" s="156" t="str">
        <x:v>WF2-004</x:v>
      </x:c>
      <x:c r="B20" s="156" t="str">
        <x:v>Service Manager assigns an Inspector with assignment scope.</x:v>
      </x:c>
      <x:c r="C20" s="156" t="str">
        <x:v>Sign in as Service Manager; assign an active Inspector; open the task as the Inspector; attempt an unrelated task.</x:v>
      </x:c>
      <x:c r="D20" s="156" t="str">
        <x:v>Assigned Inspector can access only the assigned task; unassigned or conflicting access is denied.</x:v>
      </x:c>
      <x:c r="E20" s="156" t="str">
        <x:v>Confirmed order exists; candidate Inspector is active.</x:v>
      </x:c>
      <x:c r="F20" s="156" t="str">
        <x:v>Pending</x:v>
      </x:c>
      <x:c r="G20" s="183"/>
      <x:c r="H20" s="156"/>
      <x:c r="I20" s="156" t="str">
        <x:v>Pending</x:v>
      </x:c>
      <x:c r="J20" s="183"/>
      <x:c r="K20" s="156"/>
      <x:c r="L20" s="156" t="str">
        <x:v>Pending</x:v>
      </x:c>
      <x:c r="M20" s="183"/>
      <x:c r="N20" s="156"/>
      <x:c r="O20" s="156"/>
      <x:c r="P20"/>
      <x:c r="Q20"/>
      <x:c r="R20"/>
    </x:row>
  </x:sheetData>
  <x:mergeCells>
    <x:mergeCell ref="B2:E2"/>
    <x:mergeCell ref="B4:E4"/>
    <x:mergeCell ref="B3:E3"/>
  </x:mergeCells>
  <x:dataValidations count="2">
    <x:dataValidation type="list" allowBlank="1" showErrorMessage="1" sqref="G2:G3 G9 G20:G147 I12:I19 J2:J3 J9 J20:J147 F12:F19 M2:M3 M9 M20:M147 L12:L19">
      <x:formula1>$R$2:$R$5</x:formula1>
      <x:formula2>0</x:formula2>
    </x:dataValidation>
    <x:dataValidation allowBlank="1" showErrorMessage="1" sqref="F10 I10 L10"/>
  </x:dataValidations>
  <x:pageMargins left="0.7" right="0.7" top="0.75" bottom="0.75" header="0.3" footer="0.3"/>
  <x:legacyDrawing xmlns:r="http://schemas.openxmlformats.org/officeDocument/2006/relationships" r:id="Rbf1880aacf9a47dd"/>
</x:worksheet>
</file>

<file path=xl/worksheets/sheet5.xml><?xml version="1.0" encoding="utf-8"?>
<x:worksheet xmlns:x="http://schemas.openxmlformats.org/spreadsheetml/2006/main">
  <x:sheetViews>
    <x:sheetView workbookViewId="0">
      <x:pane ySplit="10" topLeftCell="A11" activePane="bottomLeft" state="frozen"/>
    </x:sheetView>
  </x:sheetViews>
  <x:sheetFormatPr baseColWidth="10" defaultColWidth="9" defaultRowHeight="13"/>
  <x:cols>
    <x:col min="1" max="1" width="17" style="1" customWidth="1"/>
    <x:col min="2" max="2" width="34.5" style="1" customWidth="1"/>
    <x:col min="3" max="3" width="33.33203125" style="1" customWidth="1"/>
    <x:col min="4" max="4" width="34.6640625" style="1" customWidth="1"/>
    <x:col min="5" max="5" width="28.33203125" style="1" customWidth="1"/>
    <x:col min="6" max="6" width="9.33203125" style="1" customWidth="1"/>
    <x:col min="7" max="7" width="10.6640625" style="1" customWidth="1"/>
    <x:col min="8" max="8" width="7" style="29" customWidth="1"/>
    <x:col min="9" max="9" width="9.33203125" style="1" customWidth="1"/>
    <x:col min="10" max="10" width="10.6640625" style="1" customWidth="1"/>
    <x:col min="11" max="11" width="7" style="29" customWidth="1"/>
    <x:col min="12" max="12" width="9.33203125" style="1" customWidth="1"/>
    <x:col min="13" max="13" width="10.6640625" style="1" customWidth="1"/>
    <x:col min="14" max="14" width="7" style="29" customWidth="1"/>
    <x:col min="15" max="15" width="28.6640625" style="29" customWidth="1"/>
    <x:col min="16" max="16" width="10.1640625" style="1" customWidth="1"/>
    <x:col min="17" max="17" width="8.1640625" style="30" customWidth="1"/>
    <x:col min="18" max="18" width="7.6640625" style="1" hidden="1" customWidth="1"/>
    <x:col min="19" max="16384" width="9" style="1" customWidth="0"/>
  </x:cols>
  <x:sheetData>
    <x:row r="1" ht="14"/>
    <x:row r="2" s="32" customFormat="1" ht="13" hidden="0" customHeight="1">
      <x:c r="A2" s="99" t="s">
        <x:v>33</x:v>
      </x:c>
      <x:c r="B2" s="167" t="str">
        <x:v>FE-04–FE-07</x:v>
      </x:c>
      <x:c r="C2" s="109"/>
      <x:c r="D2" s="109"/>
      <x:c r="E2" s="110"/>
      <x:c r="F2" s="89"/>
      <x:c r="G2" s="83"/>
      <x:c r="H2" s="33"/>
      <x:c r="I2" s="89"/>
      <x:c r="J2" s="83"/>
      <x:c r="K2" s="33"/>
      <x:c r="L2" s="89"/>
      <x:c r="M2" s="83"/>
      <x:c r="N2" s="33"/>
      <x:c r="O2" s="33"/>
      <x:c r="P2" s="9"/>
      <x:c r="Q2" s="31"/>
      <x:c r="R2" s="32" t="s">
        <x:v>24</x:v>
      </x:c>
    </x:row>
    <x:row r="3" s="32" customFormat="1" ht="13" hidden="0" customHeight="1">
      <x:c r="A3" s="100" t="s">
        <x:v>34</x:v>
      </x:c>
      <x:c r="B3" s="168" t="str">
        <x:v>Assigned inspection/evidence, verified findings, immutable report review/release, maintenance, rework, and post-service milestones.</x:v>
      </x:c>
      <x:c r="C3" s="111"/>
      <x:c r="D3" s="111"/>
      <x:c r="E3" s="112"/>
      <x:c r="F3" s="89"/>
      <x:c r="G3" s="83"/>
      <x:c r="H3" s="33"/>
      <x:c r="I3" s="89"/>
      <x:c r="J3" s="83"/>
      <x:c r="K3" s="33"/>
      <x:c r="L3" s="89"/>
      <x:c r="M3" s="83"/>
      <x:c r="N3" s="33"/>
      <x:c r="O3" s="33"/>
      <x:c r="P3" s="9"/>
      <x:c r="Q3" s="31"/>
      <x:c r="R3" s="32" t="s">
        <x:v>25</x:v>
      </x:c>
    </x:row>
    <x:row r="4" s="32" customFormat="1" ht="18" customHeight="1">
      <x:c r="A4" s="100" t="s">
        <x:v>35</x:v>
      </x:c>
      <x:c r="B4" s="111" t="n">
        <x:v>7</x:v>
      </x:c>
      <x:c r="C4" s="111"/>
      <x:c r="D4" s="111"/>
      <x:c r="E4" s="112"/>
      <x:c r="F4" s="89"/>
      <x:c r="G4" s="83"/>
      <x:c r="H4" s="33"/>
      <x:c r="I4" s="89"/>
      <x:c r="J4" s="83"/>
      <x:c r="K4" s="33"/>
      <x:c r="L4" s="89"/>
      <x:c r="M4" s="83"/>
      <x:c r="N4" s="33"/>
      <x:c r="O4" s="33"/>
      <x:c r="P4" s="9"/>
      <x:c r="Q4" s="31"/>
      <x:c r="R4" s="32" t="s">
        <x:v>26</x:v>
      </x:c>
    </x:row>
    <x:row r="5" s="32" customFormat="1" ht="19.5" customHeight="1">
      <x:c r="A5" s="93" t="s">
        <x:v>36</x:v>
      </x:c>
      <x:c r="B5" s="91" t="s">
        <x:v>24</x:v>
      </x:c>
      <x:c r="C5" s="91" t="s">
        <x:v>25</x:v>
      </x:c>
      <x:c r="D5" s="91" t="s">
        <x:v>26</x:v>
      </x:c>
      <x:c r="E5" s="94" t="s">
        <x:v>27</x:v>
      </x:c>
      <x:c r="F5" s="84"/>
      <x:c r="G5" s="84"/>
      <x:c r="H5" s="34"/>
      <x:c r="I5" s="84"/>
      <x:c r="J5" s="84"/>
      <x:c r="K5" s="34"/>
      <x:c r="L5" s="84"/>
      <x:c r="M5" s="84"/>
      <x:c r="N5" s="34"/>
      <x:c r="O5" s="34"/>
      <x:c r="P5" s="34"/>
      <x:c r="Q5" s="35"/>
      <x:c r="R5" s="32" t="s">
        <x:v>27</x:v>
      </x:c>
    </x:row>
    <x:row r="6" s="32" customFormat="1" ht="15" customHeight="1">
      <x:c r="A6" s="93" t="s">
        <x:v>37</x:v>
      </x:c>
      <x:c r="B6" s="92" t="n">
        <x:f>COUNTIF($F$10:$F$996,B$5)</x:f>
        <x:v>4</x:v>
      </x:c>
      <x:c r="C6" s="92" t="n">
        <x:f>COUNTIF($F$10:$F$996,C$5)</x:f>
        <x:v>0</x:v>
      </x:c>
      <x:c r="D6" s="92" t="n">
        <x:f>COUNTIF($F$10:$F$996,D$5)</x:f>
        <x:v>3</x:v>
      </x:c>
      <x:c r="E6" s="98" t="n">
        <x:f>COUNTIF($F$10:$F$996,E$5)</x:f>
        <x:v>0</x:v>
      </x:c>
      <x:c r="F6" s="85"/>
      <x:c r="G6" s="85"/>
      <x:c r="H6" s="34"/>
      <x:c r="I6" s="85"/>
      <x:c r="J6" s="85"/>
      <x:c r="K6" s="34"/>
      <x:c r="L6" s="85"/>
      <x:c r="M6" s="85"/>
      <x:c r="N6" s="34"/>
      <x:c r="O6" s="34"/>
      <x:c r="P6" s="34"/>
      <x:c r="Q6" s="35"/>
    </x:row>
    <x:row r="7" s="32" customFormat="1" ht="15" customHeight="1">
      <x:c r="A7" s="93" t="s">
        <x:v>38</x:v>
      </x:c>
      <x:c r="B7" s="92" t="n">
        <x:f>COUNTIF($I$10:$I$996,B$5)</x:f>
        <x:v>1</x:v>
      </x:c>
      <x:c r="C7" s="92" t="n">
        <x:f>COUNTIF($I$10:$I$996,C$5)</x:f>
        <x:v>0</x:v>
      </x:c>
      <x:c r="D7" s="92" t="n">
        <x:f>COUNTIF($I$10:$I$996,D$5)</x:f>
        <x:v>6</x:v>
      </x:c>
      <x:c r="E7" s="98" t="n">
        <x:f>COUNTIF($I$10:$I$996,E$5)</x:f>
        <x:v>0</x:v>
      </x:c>
      <x:c r="F7" s="85"/>
      <x:c r="G7" s="85"/>
      <x:c r="H7" s="34"/>
      <x:c r="I7" s="85"/>
      <x:c r="J7" s="85"/>
      <x:c r="K7" s="34"/>
      <x:c r="L7" s="85"/>
      <x:c r="M7" s="85"/>
      <x:c r="N7" s="34"/>
      <x:c r="O7" s="34"/>
      <x:c r="P7" s="34"/>
      <x:c r="Q7" s="35"/>
    </x:row>
    <x:row r="8" s="32" customFormat="1" ht="15" customHeight="1">
      <x:c r="A8" s="95" t="s">
        <x:v>39</x:v>
      </x:c>
      <x:c r="B8" s="96" t="n">
        <x:f>COUNTIF($L$10:$L$996,B$5)</x:f>
        <x:v>0</x:v>
      </x:c>
      <x:c r="C8" s="96" t="n">
        <x:f>COUNTIF($L$10:$L$996,C$5)</x:f>
        <x:v>0</x:v>
      </x:c>
      <x:c r="D8" s="96" t="n">
        <x:f>COUNTIF($L$10:$L$996,D$5)</x:f>
        <x:v>7</x:v>
      </x:c>
      <x:c r="E8" s="97" t="n">
        <x:f>COUNTIF($L$10:$L$996,E$5)</x:f>
        <x:v>0</x:v>
      </x:c>
      <x:c r="F8" s="85"/>
      <x:c r="G8" s="85"/>
      <x:c r="H8" s="34"/>
      <x:c r="I8" s="85"/>
      <x:c r="J8" s="85"/>
      <x:c r="K8" s="34"/>
      <x:c r="L8" s="85"/>
      <x:c r="M8" s="85"/>
      <x:c r="N8" s="34"/>
      <x:c r="O8" s="34"/>
      <x:c r="P8" s="34"/>
      <x:c r="Q8" s="35"/>
    </x:row>
    <x:row r="9" s="32" customFormat="1" ht="15" customHeight="1">
      <x:c r="A9" s="34"/>
      <x:c r="B9" s="34"/>
      <x:c r="C9" s="34"/>
      <x:c r="D9" s="34"/>
      <x:c r="E9" s="34"/>
      <x:c r="F9" s="36"/>
      <x:c r="G9" s="34"/>
      <x:c r="H9" s="34"/>
      <x:c r="I9" s="36"/>
      <x:c r="J9" s="34"/>
      <x:c r="K9" s="34"/>
      <x:c r="L9" s="36"/>
      <x:c r="M9" s="34"/>
      <x:c r="N9" s="34"/>
      <x:c r="O9" s="34"/>
      <x:c r="P9" s="34"/>
      <x:c r="Q9" s="35"/>
    </x:row>
    <x:row r="10" s="32" customFormat="1" ht="25.5" customHeight="1">
      <x:c r="A10" s="90" t="s">
        <x:v>40</x:v>
      </x:c>
      <x:c r="B10" s="90" t="s">
        <x:v>41</x:v>
      </x:c>
      <x:c r="C10" s="90" t="s">
        <x:v>42</x:v>
      </x:c>
      <x:c r="D10" s="90" t="s">
        <x:v>43</x:v>
      </x:c>
      <x:c r="E10" s="90" t="s">
        <x:v>44</x:v>
      </x:c>
      <x:c r="F10" s="90" t="s">
        <x:v>37</x:v>
      </x:c>
      <x:c r="G10" s="90" t="s">
        <x:v>45</x:v>
      </x:c>
      <x:c r="H10" s="90" t="s">
        <x:v>46</x:v>
      </x:c>
      <x:c r="I10" s="90" t="s">
        <x:v>38</x:v>
      </x:c>
      <x:c r="J10" s="90" t="s">
        <x:v>45</x:v>
      </x:c>
      <x:c r="K10" s="90" t="s">
        <x:v>46</x:v>
      </x:c>
      <x:c r="L10" s="90" t="s">
        <x:v>39</x:v>
      </x:c>
      <x:c r="M10" s="90" t="s">
        <x:v>45</x:v>
      </x:c>
      <x:c r="N10" s="90" t="s">
        <x:v>46</x:v>
      </x:c>
      <x:c r="O10" s="90" t="s">
        <x:v>47</x:v>
      </x:c>
      <x:c r="Q10" s="37"/>
    </x:row>
    <x:row r="11" s="32" customFormat="1" ht="15.75" customHeight="1">
      <x:c r="A11" s="86" t="str">
        <x:v>FE-04 — Inspection Execution &amp; Evidence Management</x:v>
      </x:c>
      <x:c r="B11" s="86"/>
      <x:c r="C11" s="87"/>
      <x:c r="D11" s="87"/>
      <x:c r="E11" s="87"/>
      <x:c r="F11" s="87"/>
      <x:c r="G11" s="87"/>
      <x:c r="H11" s="87"/>
      <x:c r="I11" s="87"/>
      <x:c r="J11" s="87"/>
      <x:c r="K11" s="87"/>
      <x:c r="L11" s="87"/>
      <x:c r="M11" s="87"/>
      <x:c r="N11" s="87"/>
      <x:c r="O11" s="88"/>
      <x:c r="Q11" s="41"/>
    </x:row>
    <x:row r="12" s="47" customFormat="1" ht="144" hidden="0" customHeight="1">
      <x:c r="A12" s="171" t="str">
        <x:v>WF3-001</x:v>
      </x:c>
      <x:c r="B12" s="157" t="str">
        <x:v>Assigned Inspector starts the inspection and completes the required checklist.</x:v>
      </x:c>
      <x:c r="C12" s="157" t="str">
        <x:v>Sign in as the accepted assignee; start the inspection; load the checklist; save a required response; reload it; try the checklist as another Inspector and an Inspector from another organization.</x:v>
      </x:c>
      <x:c r="D12" s="172" t="str">
        <x:v>Start is retry-safe; the published checklist and saved value/timestamp are returned to the assignee; both out-of-scope Inspectors receive INSPECTION_SCOPE_DENIED.</x:v>
      </x:c>
      <x:c r="E12" s="172" t="str">
        <x:v>Active Inspector owns an accepted assignment; the checklist is published.</x:v>
      </x:c>
      <x:c r="F12" s="171" t="str">
        <x:v>Passed</x:v>
      </x:c>
      <x:c r="G12" s="169" t="n">
        <x:v>46289</x:v>
      </x:c>
      <x:c r="H12" s="171" t="str">
        <x:v>Codex (automated)</x:v>
      </x:c>
      <x:c r="I12" s="171" t="str">
        <x:v>Pending</x:v>
      </x:c>
      <x:c r="J12" s="169"/>
      <x:c r="K12" s="171"/>
      <x:c r="L12" s="171" t="str">
        <x:v>Pending</x:v>
      </x:c>
      <x:c r="M12" s="169"/>
      <x:c r="N12" s="171"/>
      <x:c r="O12" s="171" t="str">
        <x:v>Full backend mvnw verify passed 134 tests with JaCoCo and Modulith checks. InspectionWorkflowTest covers assignment/start/checklist rules; EvidenceApiIntegrationTest.returnsChecklistAndSavedResponseOnlyToTheAcceptedAssignee verifies the HTTP read/save contract and both denial paths; mobile assignment/repository/capture tests passed.</x:v>
      </x:c>
      <x:c r="Q12" s="46"/>
    </x:row>
    <x:row r="13" ht="216" hidden="0" customHeight="1">
      <x:c r="A13" s="171" t="str">
        <x:v>WF3-002</x:v>
      </x:c>
      <x:c r="B13" s="171" t="str">
        <x:v>Assigned Inspector uploads supported evidence with checksum and source traceability.</x:v>
      </x:c>
      <x:c r="C13" s="171" t="str">
        <x:v>Upload a valid PNG from the started inspection; retry the same bytes; list and stream evidence as the assignee; submit corrupt content and read as out-of-scope Inspectors.</x:v>
      </x:c>
      <x:c r="D13" s="173" t="str">
        <x:v>Object-store bytes and PostgreSQL metadata remain consistent; checksum/source/uploader are server-traceable; retry is idempotent; corrupt content is rejected and unrelated Inspectors receive INSPECTION_SCOPE_DENIED.</x:v>
      </x:c>
      <x:c r="E13" s="173" t="str">
        <x:v>Inspection is in progress; PostgreSQL and an S3-compatible test endpoint are available (S3Mock in CI; MinIO for runtime verification); a supported image is available.</x:v>
      </x:c>
      <x:c r="F13" s="171" t="str">
        <x:v>Passed</x:v>
      </x:c>
      <x:c r="G13" s="169" t="n">
        <x:v>46289</x:v>
      </x:c>
      <x:c r="H13" s="171" t="str">
        <x:v>Codex (automated)</x:v>
      </x:c>
      <x:c r="I13" s="171" t="str">
        <x:v>Passed</x:v>
      </x:c>
      <x:c r="J13" s="169" t="n">
        <x:v>46290</x:v>
      </x:c>
      <x:c r="K13" s="171" t="str">
        <x:v>Codex (GitHub Actions)</x:v>
      </x:c>
      <x:c r="L13" s="171" t="str">
        <x:v>Pending</x:v>
      </x:c>
      <x:c r="M13" s="169"/>
      <x:c r="N13" s="171"/>
      <x:c r="O13" s="171" t="str">
        <x:v>The 2026-09-24 full backend verification passed using real PostgreSQL and MinIO containers. GitHub Actions run 36090635549 initially failed before tests because the MinIO image pull was unauthorized. After switching the test containers to S3Mock 5.2.3, full backend verify run 36092639825 passed: EvidenceApiIntegrationTest (3 tests) and MinioEvidenceObjectStoreIntegrationTest (1 test) both passed. S3Mock covers the S3 API subset and is not a MinIO server test. The post-change local targeted run could not start because the Docker Desktop API pipe was unavailable.</x:v>
      </x:c>
      <x:c r="Q13" s="46"/>
    </x:row>
    <x:row r="14" ht="14">
      <x:c r="A14" s="42" t="str">
        <x:v>FE-05 — YOLO-assisted Defect Detection &amp; Verification</x:v>
      </x:c>
      <x:c r="B14" s="42"/>
      <x:c r="C14" s="42"/>
      <x:c r="D14" s="48"/>
      <x:c r="E14" s="48"/>
      <x:c r="F14" s="42"/>
      <x:c r="G14" s="42"/>
      <x:c r="H14" s="42"/>
      <x:c r="I14" s="42"/>
      <x:c r="J14" s="42"/>
      <x:c r="K14" s="42"/>
      <x:c r="L14" s="42"/>
      <x:c r="M14" s="42"/>
      <x:c r="N14" s="42"/>
      <x:c r="O14" s="45"/>
      <x:c r="P14"/>
      <x:c r="Q14" s="46"/>
      <x:c r="R14"/>
    </x:row>
    <x:row r="15" s="32" customFormat="1" ht="132" hidden="0" customHeight="1">
      <x:c r="A15" s="174" t="str">
        <x:v>WF3-003</x:v>
      </x:c>
      <x:c r="B15" s="175" t="str">
        <x:v>Inspector verifies AI candidates or records a manual finding.</x:v>
      </x:c>
      <x:c r="C15" s="176" t="str">
        <x:v>Send eligible evidence to the deterministic inference stub; verify candidate provenance; confirm, modify, and reject candidates; create a manual finding; exercise inference failure and inspect official report findings.</x:v>
      </x:c>
      <x:c r="D15" s="176" t="str">
        <x:v>Candidate decisions are scoped and auditable; only verified/manual findings become official; pending/rejected candidates stay non-official; an inference failure leaves evidence and manual entry usable.</x:v>
      </x:c>
      <x:c r="E15" s="176" t="str">
        <x:v>Eligible evidence exists; deterministic inference stub and authorized Inspector are available.</x:v>
      </x:c>
      <x:c r="F15" s="176" t="str">
        <x:v>Passed</x:v>
      </x:c>
      <x:c r="G15" s="177" t="n">
        <x:v>46289</x:v>
      </x:c>
      <x:c r="H15" s="176" t="str">
        <x:v>Codex (automated)</x:v>
      </x:c>
      <x:c r="I15" s="176" t="str">
        <x:v>Pending</x:v>
      </x:c>
      <x:c r="J15" s="177"/>
      <x:c r="K15" s="176"/>
      <x:c r="L15" s="176" t="str">
        <x:v>Pending</x:v>
      </x:c>
      <x:c r="M15" s="177"/>
      <x:c r="N15" s="176"/>
      <x:c r="O15" s="178" t="str">
        <x:v>AiFindingServiceTest and AiFindingApiIntegrationTest passed with state/scope coverage; YoloInferenceClientTest and configuration tests passed using a local HTTP stub. No deployed/live YOLO model was connected; this result verifies the configured adapter contract and deterministic workflow.</x:v>
      </x:c>
      <x:c r="P15"/>
      <x:c r="Q15" s="41"/>
      <x:c r="R15"/>
    </x:row>
    <x:row r="16" ht="14">
      <x:c r="A16" s="42" t="str">
        <x:v>FE-06 — Inspection Report &amp; Approval</x:v>
      </x:c>
      <x:c r="B16" s="42"/>
      <x:c r="C16" s="42"/>
      <x:c r="D16" s="42"/>
      <x:c r="E16" s="42"/>
      <x:c r="F16" s="42"/>
      <x:c r="G16" s="42"/>
      <x:c r="H16" s="42"/>
      <x:c r="I16" s="42"/>
      <x:c r="J16" s="42"/>
      <x:c r="K16" s="42"/>
      <x:c r="L16" s="42"/>
      <x:c r="M16" s="42"/>
      <x:c r="N16" s="42"/>
      <x:c r="O16" s="45"/>
      <x:c r="P16"/>
      <x:c r="Q16" s="46"/>
      <x:c r="R16"/>
    </x:row>
    <x:row r="17" ht="132" hidden="0" customHeight="1">
      <x:c r="A17" s="171" t="str">
        <x:v>WF3-004</x:v>
      </x:c>
      <x:c r="B17" s="171" t="str">
        <x:v>Report progresses through independent review, release, and Client decision.</x:v>
      </x:c>
      <x:c r="C17" s="171" t="str">
        <x:v>Compose a draft from checklist/evidence/verified findings; deny author self-review; assign a distinct reviewer; record review; release as Manager; verify Client draft isolation; accept or request revision and retry acceptance.</x:v>
      </x:c>
      <x:c r="D17" s="171" t="str">
        <x:v>Reviewer/Manager/Client scopes are enforced; only released versions are Client-visible; revision creates an auditable decision; acceptance locks the version, records actor/reason, and emits one handoff.</x:v>
      </x:c>
      <x:c r="E17" s="171" t="str">
        <x:v>Inspection data is complete; distinct active author/reviewer and Manager exist; Client belongs to the owning organization.</x:v>
      </x:c>
      <x:c r="F17" s="171" t="str">
        <x:v>Passed</x:v>
      </x:c>
      <x:c r="G17" s="181" t="n">
        <x:v>46289</x:v>
      </x:c>
      <x:c r="H17" s="182" t="str">
        <x:v>Codex (automated)</x:v>
      </x:c>
      <x:c r="I17" s="171" t="str">
        <x:v>Pending</x:v>
      </x:c>
      <x:c r="J17" s="181"/>
      <x:c r="K17" s="182"/>
      <x:c r="L17" s="171" t="str">
        <x:v>Pending</x:v>
      </x:c>
      <x:c r="M17" s="181"/>
      <x:c r="N17" s="182"/>
      <x:c r="O17" s="182" t="str">
        <x:v>InspectionReportServiceTest and InspectionReportApiIntegrationTest passed for version lifecycle, review separation, visibility, release, Client decision, immutability, and single accepted-report event. Migration V10 persists Client decision actor/reason. Report API integration uses a test object-store stub; real MinIO byte storage is verified separately by WF3-002 integration tests.</x:v>
      </x:c>
      <x:c r="Q17" s="51"/>
    </x:row>
    <x:row r="18">
      <x:c r="A18" s="1" t="str">
        <x:v>FE-07 — Maintenance &amp; Defect Resolution</x:v>
      </x:c>
      <x:c r="B18"/>
      <x:c r="C18"/>
      <x:c r="D18"/>
      <x:c r="E18"/>
      <x:c r="F18"/>
      <x:c r="G18"/>
      <x:c r="H18"/>
      <x:c r="I18"/>
      <x:c r="J18"/>
      <x:c r="K18"/>
      <x:c r="L18"/>
      <x:c r="M18"/>
      <x:c r="N18"/>
      <x:c r="O18"/>
      <x:c r="P18"/>
      <x:c r="Q18"/>
      <x:c r="R18"/>
    </x:row>
    <x:row r="19" ht="39.599998474121094" hidden="0" customHeight="1">
      <x:c r="A19" s="156" t="str">
        <x:v>WF4-001</x:v>
      </x:c>
      <x:c r="B19" s="156" t="str">
        <x:v>Client creates a maintenance ticket from an accepted finding.</x:v>
      </x:c>
      <x:c r="C19" s="156" t="str">
        <x:v>Sign in as Client; open a released report; choose an accepted finding; create a ticket; list tickets.</x:v>
      </x:c>
      <x:c r="D19" s="156" t="str">
        <x:v>Ticket is linked to the finding and client organization; another organization cannot see it.</x:v>
      </x:c>
      <x:c r="E19" s="156" t="str">
        <x:v>Released report and accepted finding exist.</x:v>
      </x:c>
      <x:c r="F19" s="156" t="str">
        <x:v>Pending</x:v>
      </x:c>
      <x:c r="G19" s="183"/>
      <x:c r="H19" s="156"/>
      <x:c r="I19" s="156" t="str">
        <x:v>Pending</x:v>
      </x:c>
      <x:c r="J19" s="183"/>
      <x:c r="K19" s="156"/>
      <x:c r="L19" s="156" t="str">
        <x:v>Pending</x:v>
      </x:c>
      <x:c r="M19" s="183"/>
      <x:c r="N19" s="156"/>
      <x:c r="O19" s="156"/>
      <x:c r="P19"/>
      <x:c r="Q19"/>
      <x:c r="R19"/>
    </x:row>
    <x:row r="20" ht="39.599998474121094" hidden="0" customHeight="1">
      <x:c r="A20" s="156" t="str">
        <x:v>WF4-002</x:v>
      </x:c>
      <x:c r="B20" s="156" t="str">
        <x:v>Maintenance Engineer updates only assigned work.</x:v>
      </x:c>
      <x:c r="C20" s="156" t="str">
        <x:v>Assign an assessment/execution task; sign in as the engineer; update status and notes; attempt an unassigned ticket.</x:v>
      </x:c>
      <x:c r="D20" s="156" t="str">
        <x:v>Assigned work can be updated; unassigned or cross-organization work is denied.</x:v>
      </x:c>
      <x:c r="E20" s="156" t="str">
        <x:v>Ticket is actionable; engineer is active and assigned.</x:v>
      </x:c>
      <x:c r="F20" s="156" t="str">
        <x:v>Pending</x:v>
      </x:c>
      <x:c r="G20" s="183"/>
      <x:c r="H20" s="156"/>
      <x:c r="I20" s="156" t="str">
        <x:v>Pending</x:v>
      </x:c>
      <x:c r="J20" s="183"/>
      <x:c r="K20" s="156"/>
      <x:c r="L20" s="156" t="str">
        <x:v>Pending</x:v>
      </x:c>
      <x:c r="M20" s="183"/>
      <x:c r="N20" s="156"/>
      <x:c r="O20" s="156"/>
      <x:c r="P20"/>
      <x:c r="Q20"/>
      <x:c r="R20"/>
    </x:row>
    <x:row r="21" ht="52.79999923706055" hidden="0" customHeight="1">
      <x:c r="A21" s="156" t="str">
        <x:v>WF4-003</x:v>
      </x:c>
      <x:c r="B21" s="156" t="str">
        <x:v>Approval, rework/reinspection, and post-service billing status are recorded.</x:v>
      </x:c>
      <x:c r="C21" s="156" t="str">
        <x:v>Complete maintenance; submit for client approval; approve or request rework; if approved, inspect the second billing milestone and invoice/payment status.</x:v>
      </x:c>
      <x:c r="D21" s="156" t="str">
        <x:v>Approval or rework state is auditable; reinspection is a new controlled step; payment status is recorded without requiring an online gateway.</x:v>
      </x:c>
      <x:c r="E21" s="156" t="str">
        <x:v>Maintenance result and invoice record exist.</x:v>
      </x:c>
      <x:c r="F21" s="156" t="str">
        <x:v>Pending</x:v>
      </x:c>
      <x:c r="G21" s="183"/>
      <x:c r="H21" s="156"/>
      <x:c r="I21" s="156" t="str">
        <x:v>Pending</x:v>
      </x:c>
      <x:c r="J21" s="183"/>
      <x:c r="K21" s="156"/>
      <x:c r="L21" s="156" t="str">
        <x:v>Pending</x:v>
      </x:c>
      <x:c r="M21" s="183"/>
      <x:c r="N21" s="156"/>
      <x:c r="O21" s="156"/>
      <x:c r="P21"/>
      <x:c r="Q21"/>
      <x:c r="R21"/>
    </x:row>
  </x:sheetData>
  <x:mergeCells>
    <x:mergeCell ref="B2:E2"/>
    <x:mergeCell ref="B3:E3"/>
    <x:mergeCell ref="B4:E4"/>
  </x:mergeCells>
  <x:dataValidations count="2">
    <x:dataValidation allowBlank="1" showErrorMessage="1" sqref="F10 I10 L10"/>
    <x:dataValidation type="list" allowBlank="1" showErrorMessage="1" sqref="G2:G3 G9 G18:G145 I12:I17 J2:J3 J9 J18:J145 F12:F17 M2:M3 M9 M18:M145 L12:L17">
      <x:formula1>$R$2:$R$5</x:formula1>
      <x:formula2>0</x:formula2>
    </x:dataValidation>
  </x:dataValidations>
  <x:pageMargins left="0.7" right="0.7" top="0.75" bottom="0.75" header="0.3" footer="0.3"/>
  <x:legacyDrawing xmlns:r="http://schemas.openxmlformats.org/officeDocument/2006/relationships" r:id="R95512e5a1c674fbf"/>
</x:worksheet>
</file>