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Feature 1" sheetId="4" state="visible" r:id="rId4"/>
    <sheet xmlns:r="http://schemas.openxmlformats.org/officeDocument/2006/relationships" name="Feature 2" sheetId="5" state="visible" r:id="rId5"/>
  </sheets>
  <externalReferences>
    <externalReference xmlns:r="http://schemas.openxmlformats.org/officeDocument/2006/relationships" r:id="rId6"/>
  </externalReferences>
  <definedNames>
    <definedName name="ACTION">#REF!</definedName>
    <definedName name="ACTION" localSheetId="0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57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0" fontId="21" fillId="0" borderId="1" applyAlignment="1" pivotButton="0" quotePrefix="0" xfId="5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45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SmartDroneInspection</t>
        </is>
      </c>
      <c r="C4" s="150" t="n"/>
      <c r="D4" s="151" t="n"/>
      <c r="E4" s="120" t="inlineStr">
        <is>
          <t>*Enter team/member name*</t>
        </is>
      </c>
      <c r="F4" s="122" t="n"/>
    </row>
    <row r="5" ht="14.25" customHeight="1">
      <c r="A5" s="120" t="inlineStr">
        <is>
          <t>Project Code</t>
        </is>
      </c>
      <c r="B5" s="121" t="inlineStr">
        <is>
          <t>SEP490 — *confirm with project owner*</t>
        </is>
      </c>
      <c r="C5" s="150" t="n"/>
      <c r="D5" s="151" t="n"/>
      <c r="E5" s="120" t="inlineStr">
        <is>
          <t>Issue Date</t>
        </is>
      </c>
      <c r="F5" s="123" t="inlineStr">
        <is>
          <t>2026-10-09</t>
        </is>
      </c>
    </row>
    <row r="6" ht="15.75" customHeight="1">
      <c r="A6" s="124" t="inlineStr">
        <is>
          <t>Document Code</t>
        </is>
      </c>
      <c r="B6" s="152">
        <f>B5&amp;"_"&amp;"XXX"&amp;"_"&amp;"vx.x"</f>
        <v/>
      </c>
      <c r="C6" s="150" t="n"/>
      <c r="D6" s="151" t="n"/>
      <c r="E6" s="120" t="inlineStr">
        <is>
          <t>Version</t>
        </is>
      </c>
      <c r="F6" s="128" t="inlineStr">
        <is>
          <t>3.5 (Scope baselines rewritten from Report 3 itself: every FE file now carries its Report 3 title and reproduces the real MF1-01…MF1-14, MF2-01…MF2-12, MF4 responsibility table and §3.9 role rules instead of marketplace-era summaries. Reconciled against the supplied workbook by reading it directly — corrected the cover change-table headers, corrected `Module code` to carry the feature-sheet name rather than the sheet name, and documented four template defects including a stray `6` in `Feature 2!A18` that `COUNTA` would count as a sixth case. No case ID, status, round, date, tester or total changed — still 5 cases, all `Passed`.)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2026-09-22</t>
        </is>
      </c>
      <c r="B11" s="138" t="inlineStr">
        <is>
          <t>0.1</t>
        </is>
      </c>
      <c r="C11" s="139" t="inlineStr">
        <is>
          <t>Report 5 working source</t>
        </is>
      </c>
      <c r="D11" s="139" t="inlineStr">
        <is>
          <t>A</t>
        </is>
      </c>
      <c r="E11" s="140" t="inlineStr">
        <is>
          <t>Created the editable test-case structure from the supplied workbook without changing the original template layout.</t>
        </is>
      </c>
      <c r="F11" s="141" t="inlineStr">
        <is>
          <t>`template/Report5_Test Report.xlsx`</t>
        </is>
      </c>
    </row>
    <row r="12" ht="21.75" customFormat="1" customHeight="1" s="142">
      <c r="A12" s="143" t="inlineStr">
        <is>
          <t>2026-09-22</t>
        </is>
      </c>
      <c r="B12" s="138" t="inlineStr">
        <is>
          <t>0.2</t>
        </is>
      </c>
      <c r="C12" s="139" t="inlineStr">
        <is>
          <t>FE ownership alignment</t>
        </is>
      </c>
      <c r="D12" s="139" t="inlineStr">
        <is>
          <t>M</t>
        </is>
      </c>
      <c r="E12" s="139" t="inlineStr">
        <is>
          <t>Added FE-01 through FE-07 mapping, recorded the FE-01 W3 auth/migration gate, and split WF3 traceability across FE-04, FE-05, and FE-06 without changing test IDs or workbook sheets.</t>
        </is>
      </c>
      <c r="F12" s="144" t="inlineStr">
        <is>
          <t>Jira SCRUM-56, SCRUM-58, SCRUM-106, SCRUM-107, SCRUM-108</t>
        </is>
      </c>
    </row>
    <row r="13" ht="19.5" customFormat="1" customHeight="1" s="142">
      <c r="A13" s="143" t="inlineStr">
        <is>
          <t>2026-09-22</t>
        </is>
      </c>
      <c r="B13" s="138" t="inlineStr">
        <is>
          <t>0.3</t>
        </is>
      </c>
      <c r="C13" s="139" t="inlineStr">
        <is>
          <t>Week 3 automated verification</t>
        </is>
      </c>
      <c r="D13" s="139" t="inlineStr">
        <is>
          <t>M</t>
        </is>
      </c>
      <c r="E13" s="139" t="inlineStr">
        <is>
          <t>Recorded the passed FE-01 auth/migration smoke gate, separate MinIO infrastructure healthcheck, and FE-04 execution/checklist acceptance evidence; recalculated Round 1 statistics without changing template case IDs or layout.</t>
        </is>
      </c>
      <c r="F13" s="144" t="inlineStr">
        <is>
          <t>`WorkflowBaselineTest`, `InspectionWorkflowTest`, `InspectionFixtureTest`, mobile inspection test, backend `mvnw verify`</t>
        </is>
      </c>
    </row>
    <row r="14" ht="21.75" customFormat="1" customHeight="1" s="142">
      <c r="A14" s="143" t="inlineStr">
        <is>
          <t>2026-09-22</t>
        </is>
      </c>
      <c r="B14" s="138" t="inlineStr">
        <is>
          <t>0.4</t>
        </is>
      </c>
      <c r="C14" s="139" t="inlineStr">
        <is>
          <t>FE-01 scope correction</t>
        </is>
      </c>
      <c r="D14" s="139" t="inlineStr">
        <is>
          <t>M</t>
        </is>
      </c>
      <c r="E14" s="139" t="inlineStr">
        <is>
          <t>Removed MinIO from the FE-01 foundation scope and linked evidence storage/MinIO to FE-04/WF3 task T025; retained the separate infrastructure healthcheck evidence.</t>
        </is>
      </c>
      <c r="F14" s="144" t="inlineStr">
        <is>
          <t>Jira SCRUM-58, SCRUM-85, SCRUM-108; Report 3 SRS 3.2 and 3.5</t>
        </is>
      </c>
    </row>
    <row r="15" ht="19.5" customFormat="1" customHeight="1" s="142">
      <c r="A15" s="143" t="inlineStr">
        <is>
          <t>2026-09-22</t>
        </is>
      </c>
      <c r="B15" s="138" t="inlineStr">
        <is>
          <t>0.5</t>
        </is>
      </c>
      <c r="C15" s="139" t="inlineStr">
        <is>
          <t>Workbook feature-sheet mapping clarification</t>
        </is>
      </c>
      <c r="D15" s="139" t="inlineStr">
        <is>
          <t>M</t>
        </is>
      </c>
      <c r="E15" s="139" t="inlineStr">
        <is>
          <t>Clarified that Feature 1/Feature 2 are fixed workbook sheets, while FE codes identify SRS capabilities and WF IDs identify business-flow test cases; documented the WF4-to-FE-07 mapping in Feature 2.</t>
        </is>
      </c>
      <c r="F15" s="144" t="inlineStr">
        <is>
          <t>`README.md`, `template-layout.md`, `test-case-list.md`, feature sources, and test statistics</t>
        </is>
      </c>
    </row>
    <row r="16" ht="21.75" customFormat="1" customHeight="1" s="142">
      <c r="A16" s="143" t="inlineStr">
        <is>
          <t>2026-09-22</t>
        </is>
      </c>
      <c r="B16" s="138" t="inlineStr">
        <is>
          <t>0.6</t>
        </is>
      </c>
      <c r="C16" s="139" t="inlineStr">
        <is>
          <t>FE-04/FE-05 case-boundary correction</t>
        </is>
      </c>
      <c r="D16" s="139" t="inlineStr">
        <is>
          <t>M</t>
        </is>
      </c>
      <c r="E16" s="139" t="inlineStr">
        <is>
          <t>Removed finding creation from the FE-04 evidence case and assigned AI candidate verification/manual findings to FE-05, preserving the existing WF3 test IDs.</t>
        </is>
      </c>
      <c r="F16" s="144" t="inlineStr">
        <is>
          <t>Report 3 SRS 3.5–3.6; FE-04 and FE-05 sources; `test-case-list.md`</t>
        </is>
      </c>
    </row>
    <row r="17" ht="19.5" customFormat="1" customHeight="1" s="142">
      <c r="A17" s="145" t="inlineStr">
        <is>
          <t>2026-09-24</t>
        </is>
      </c>
      <c r="B17" s="146" t="inlineStr">
        <is>
          <t>0.7</t>
        </is>
      </c>
      <c r="C17" s="147" t="inlineStr">
        <is>
          <t>FE-01 role-aware frontend navigation</t>
        </is>
      </c>
      <c r="D17" s="147" t="inlineStr">
        <is>
          <t>M</t>
        </is>
      </c>
      <c r="E17" s="147" t="inlineStr">
        <is>
          <t>Recorded automated portal, screen-access, multi-role entry, legacy redirect, and denied-route verification against the existing SRS matrix; functional workbook case IDs and statistics are unchanged.</t>
        </is>
      </c>
      <c r="F17" s="148" t="inlineStr">
        <is>
          <t>SmartDroneInspection-Frontend: `src/app/permissions/accessPolicy.test.ts`; Report 3 SRS 3.1.3</t>
        </is>
      </c>
    </row>
    <row r="18">
      <c r="A18" t="inlineStr">
        <is>
          <t>2026-09-24</t>
        </is>
      </c>
      <c r="B18" t="inlineStr">
        <is>
          <t>0.8</t>
        </is>
      </c>
      <c r="C18" t="inlineStr">
        <is>
          <t>FE-01 browser authentication flow</t>
        </is>
      </c>
      <c r="D18" t="inlineStr">
        <is>
          <t>M</t>
        </is>
      </c>
      <c r="E18" t="inlineStr">
        <is>
          <t>Recorded frontend auth-contract, validation, session-return, and role-routing tests; implemented shared light login and Client registration without changing functional workbook case IDs or statistics.</t>
        </is>
      </c>
      <c r="F18" t="inlineStr">
        <is>
          <t>SmartDroneInspection-Frontend: `src/features/auth/`; Report 3 SRS 3.2; `npm.cmd test`</t>
        </is>
      </c>
    </row>
    <row r="19">
      <c r="A19" t="inlineStr">
        <is>
          <t>2026-09-24</t>
        </is>
      </c>
      <c r="B19" t="inlineStr">
        <is>
          <t>0.9</t>
        </is>
      </c>
      <c r="C19" t="inlineStr">
        <is>
          <t>Shared API response contract</t>
        </is>
      </c>
      <c r="D19" t="inlineStr">
        <is>
          <t>M</t>
        </is>
      </c>
      <c r="E19" t="inlineStr">
        <is>
          <t>Recorded automated verification for the successful JSON envelope and unchanged Problem Details, 204, and binary-stream contracts; functional workbook case IDs and totals remain unchanged.</t>
        </is>
      </c>
      <c r="F19" t="inlineStr">
        <is>
          <t>Backend `ApiResponseTest` and API integration tests; frontend/mobile envelope tests; Report 3 sections 4.1 and 5.2</t>
        </is>
      </c>
    </row>
    <row r="20">
      <c r="A20" t="inlineStr">
        <is>
          <t>2026-09-24</t>
        </is>
      </c>
      <c r="B20" t="inlineStr">
        <is>
          <t>1.0</t>
        </is>
      </c>
      <c r="C20" t="inlineStr">
        <is>
          <t>WF3 FE-04/FE-05/FE-06 automated verification</t>
        </is>
      </c>
      <c r="D20" t="inlineStr">
        <is>
          <t>M</t>
        </is>
      </c>
      <c r="E20" t="inlineStr">
        <is>
          <t>Recorded passing checklist/evidence, AI candidate/manual finding, and report totals and coverage while preserving all workbook sheets and stable WFx IDs.</t>
        </is>
      </c>
      <c r="F20" t="inlineStr">
        <is>
          <t>Jira SCRUM-85–SCRUM-93; backend `mvnw verify`; frontend and mobile regression; FE-04, FE-05, and FE-06 sources</t>
        </is>
      </c>
    </row>
    <row r="21">
      <c r="A21" t="inlineStr">
        <is>
          <t>2026-09-25</t>
        </is>
      </c>
      <c r="B21" t="inlineStr">
        <is>
          <t>1.1</t>
        </is>
      </c>
      <c r="C21" t="inlineStr">
        <is>
          <t>WF3 S3 integration-test runner update</t>
        </is>
      </c>
      <c r="D21" t="inlineStr">
        <is>
          <t>M</t>
        </is>
      </c>
      <c r="E21" t="inlineStr">
        <is>
          <t>Recorded the unavailable MinIO CI image and successful S3Mock S3 API integration rerun; clarified that the CI mock does not replace MinIO runtime verification.</t>
        </is>
      </c>
      <c r="F21" t="inlineStr">
        <is>
          <t>Backend PR #44 CI runs 36090635549 and 36092639825; `EvidenceApiIntegrationTest`; `MinioEvidenceObjectStoreIntegrationTest`</t>
        </is>
      </c>
    </row>
    <row r="22">
      <c r="A22" t="inlineStr">
        <is>
          <t>2026-09-25</t>
        </is>
      </c>
      <c r="B22" t="inlineStr">
        <is>
          <t>1.2</t>
        </is>
      </c>
      <c r="C22" t="inlineStr">
        <is>
          <t>FE-specific Report 5 source structure</t>
        </is>
      </c>
      <c r="D22" t="inlineStr">
        <is>
          <t>M</t>
        </is>
      </c>
      <c r="E22" t="inlineStr">
        <is>
          <t>Split editable feature details into exactly eight FE-specific files, retained all 15 WFx case IDs and statuses, documented FE-08 as uncovered, and made the generated preview's per-round status formulas count the corresponding round. The original template remains unchanged.</t>
        </is>
      </c>
      <c r="F22" t="inlineStr">
        <is>
          <t>`README.md`, `template-layout.md`, `test-case-list.md`, `test-statistics.md`, and `03-features/`</t>
        </is>
      </c>
    </row>
    <row r="23">
      <c r="A23" t="inlineStr">
        <is>
          <t>2026-09-26</t>
        </is>
      </c>
      <c r="B23" t="inlineStr">
        <is>
          <t>1.3</t>
        </is>
      </c>
      <c r="C23" t="inlineStr">
        <is>
          <t>WF3 AI draft narrative and inspection completion verification</t>
        </is>
      </c>
      <c r="D23" t="inlineStr">
        <is>
          <t>M</t>
        </is>
      </c>
      <c r="E23" t="inlineStr">
        <is>
          <t>Recorded executed AI-draft/narrative and COMPLETED-transition evidence on WF3-004 (Round 2 note) and noted the ai-draft HTTP live-provider happy path as not run; updated Report 3 SRS 3.7.1 and business flows WF3-11/WF3-20; workbook case IDs, sheet totals, and statistics unchanged.</t>
        </is>
      </c>
      <c r="F23" t="inlineStr">
        <is>
          <t>`InspectionReportServiceTest`, `ReportSnapshotSerializationTest`, `ReportDraftClientTest`, extended `InspectionReportApiIntegrationTest`, `InspectionServiceTest` lock test; Report 3 SRS 3.7.1</t>
        </is>
      </c>
    </row>
    <row r="24">
      <c r="A24" t="inlineStr">
        <is>
          <t>2026-09-26</t>
        </is>
      </c>
      <c r="B24" t="inlineStr">
        <is>
          <t>1.4</t>
        </is>
      </c>
      <c r="C24" t="inlineStr">
        <is>
          <t>WF3 narrative limit configuration and AI draft provenance</t>
        </is>
      </c>
      <c r="D24" t="inlineStr">
        <is>
          <t>M</t>
        </is>
      </c>
      <c r="E24" t="inlineStr">
        <is>
          <t>Promoted WF3-004 Round 2 to `Passed` with a 2026-09-26 automated run, recorded the configured-limit mutation check and the new provenance/serialization assertions, and noted the unchanged Feature 2 totals. Updated Report 3 SRS 3.7.1 with `REPORT_NARRATIVE_MAX_CHARS` and `aiDraftModel`.</t>
        </is>
      </c>
      <c r="F24" t="inlineStr">
        <is>
          <t>`InspectionReportServiceTest`, `ReportSnapshotSerializationTest`, `InspectionReportApiIntegrationTest`; backend `mvnw verify` 164/164; Report 3 SRS 3.7.1 and 00-record-of-changes</t>
        </is>
      </c>
    </row>
    <row r="25">
      <c r="A25" t="inlineStr">
        <is>
          <t>2026-09-28</t>
        </is>
      </c>
      <c r="B25" t="inlineStr">
        <is>
          <t>1.5</t>
        </is>
      </c>
      <c r="C25" t="inlineStr">
        <is>
          <t>FE-01 client registration persistence defect fix</t>
        </is>
      </c>
      <c r="D25" t="inlineStr">
        <is>
          <t>M</t>
        </is>
      </c>
      <c r="E25" t="inlineStr">
        <is>
          <t>Fixed `POST /api/v1/auth/register` returning 500 (the raw-JdbcTemplate audit insert referenced the new user before the Hibernate flush of `users`) and recorded the passing FE-01 self-registration persistence gate with organization, `CLIENT` role, and `CLIENT_REGISTRATION` audit-row assertions; workbook case IDs, sheet totals, and statistics unchanged.</t>
        </is>
      </c>
      <c r="F25" t="inlineStr">
        <is>
          <t>Backend `ClientRegistrationApiIntegrationTest`, `ClientRegistrationServiceTest`; `.mvnw.cmd verify` 165/165; Report 3 SRS 3.2</t>
        </is>
      </c>
    </row>
    <row r="26">
      <c r="A26" t="inlineStr">
        <is>
          <t>2026-09-28</t>
        </is>
      </c>
      <c r="B26" t="inlineStr">
        <is>
          <t>1.6</t>
        </is>
      </c>
      <c r="C26" t="inlineStr">
        <is>
          <t>FE-01 admin user creation persistence defect fix</t>
        </is>
      </c>
      <c r="D26" t="inlineStr">
        <is>
          <t>M</t>
        </is>
      </c>
      <c r="E26" t="inlineStr">
        <is>
          <t>Fixed `POST /api/v1/platform/users` returning 500 (same raw-JdbcTemplate audit-before-flush cause as the client-registration defect) and recorded the passing FE-01 admin-creation persistence gate with user, role, and `USER_CREATED` audit-row assertions; workbook case IDs, sheet totals, and statistics unchanged.</t>
        </is>
      </c>
      <c r="F26" t="inlineStr">
        <is>
          <t>Backend `AdminUserApiIntegrationTest`, `AdminUserServiceTest`; `.mvnw.cmd verify` 167/167</t>
        </is>
      </c>
    </row>
    <row r="27">
      <c r="A27" t="inlineStr">
        <is>
          <t>2026-09-29</t>
        </is>
      </c>
      <c r="B27" t="inlineStr">
        <is>
          <t>1.7</t>
        </is>
      </c>
      <c r="C27" t="inlineStr">
        <is>
          <t>WF1 proposal flow cases added</t>
        </is>
      </c>
      <c r="D27" t="inlineStr">
        <is>
          <t>A</t>
        </is>
      </c>
      <c r="E27" t="inlineStr">
        <is>
          <t>Added `WF1-011`-`WF1-019` covering asset review with `PENDING_REVIEW`/`REJECTED`, per-category suggested frequencies, proposal generation/review/selection, sibling supersession, document-upload type/size/scope rules, the idempotent due-cycle event, and the WF1 negative scope sweep; recounted Feature 1 to 17 cases and the grand total to 24. `WF1-017` is producer-side only; the WF2 consumer half is pending T021.</t>
        </is>
      </c>
      <c r="F27" t="inlineStr">
        <is>
          <t>Report 3 SRS 3.3; `project-reference/business-flows.md`; `project-reference/database-design.md`; backend `mvnw verify` (189 tests); frontend `npm run test` (70 tests); `fe-02-asset-registry-inspection-schedule.md`; `fe-03-inspection-request-work-assignment.md`; `test-statistics.md`</t>
        </is>
      </c>
    </row>
    <row r="28">
      <c r="A28" t="inlineStr">
        <is>
          <t>2026-09-29</t>
        </is>
      </c>
      <c r="B28" t="inlineStr">
        <is>
          <t>1.8</t>
        </is>
      </c>
      <c r="C28" t="inlineStr">
        <is>
          <t>WF2 periodic-only flow alignment</t>
        </is>
      </c>
      <c r="D28" t="inlineStr">
        <is>
          <t>M</t>
        </is>
      </c>
      <c r="E28" t="inlineStr">
        <is>
          <t>Updated WF2-001 from ad-hoc manual creation to automated periodic request generation with asset defaults, Client notification, auto-acceptance by default, and cancellation option; aligned FE-03 scope baseline and coverage boundary. Total case counts remain unchanged.</t>
        </is>
      </c>
      <c r="F28" t="inlineStr">
        <is>
          <t>Report 3 SRS 3.4; `project-reference/business-flows.md`; `test-case-list.md`; `fe-03-inspection-request-work-assignment.md`</t>
        </is>
      </c>
    </row>
    <row r="29">
      <c r="A29" t="inlineStr">
        <is>
          <t>2026-10-03</t>
        </is>
      </c>
      <c r="B29" t="inlineStr">
        <is>
          <t>1.9</t>
        </is>
      </c>
      <c r="C29" t="inlineStr">
        <is>
          <t>WF2 handoff contract correction</t>
        </is>
      </c>
      <c r="D29" t="inlineStr">
        <is>
          <t>M</t>
        </is>
      </c>
      <c r="E29" t="inlineStr">
        <is>
          <t>Corrected the WF2 baseline to route generated periodic requests to Service Manager review, removed unsupported auto-acceptance/cancellation behavior, retained linked AD_HOC requests only for re-inspection, and kept WF2-001 pending because no runtime test was executed.</t>
        </is>
      </c>
      <c r="F29" t="inlineStr">
        <is>
          <t>Report 3 SRS 3.4; `project-reference/business-flows.md`; `development/plans/bach/2026-09-22-four-week-mainflow-delivery/`; `development/plans/quoc/plan.md`</t>
        </is>
      </c>
    </row>
    <row r="30">
      <c r="A30" t="inlineStr">
        <is>
          <t>2026-10-03</t>
        </is>
      </c>
      <c r="B30" t="inlineStr">
        <is>
          <t>2.0</t>
        </is>
      </c>
      <c r="C30" t="inlineStr">
        <is>
          <t>Multi-provider target test design</t>
        </is>
      </c>
      <c r="D30" t="inlineStr">
        <is>
          <t>M</t>
        </is>
      </c>
      <c r="E30" t="inlineStr">
        <is>
          <t>Added target-only Pending acceptance cases for six proposed roles, Provider isolation, one public Platform-set Provider commission, Platform-owned YOLO/LLM/data/storage, conditional funding through an authorized partner, internal complaints, and contractual warranty retention. Historical Passed evidence and fixed workbook sheets are unchanged; no new runtime test was executed.</t>
        </is>
      </c>
      <c r="F30" t="inlineStr">
        <is>
          <t>Report 3 target SRS; `project-reference/business-flows.md`; `01-test-cases/test-case-list.md`; eight FE files; `test-statistics.md`</t>
        </is>
      </c>
    </row>
    <row r="31">
      <c r="A31" t="inlineStr">
        <is>
          <t>2026-10-03</t>
        </is>
      </c>
      <c r="B31" t="inlineStr">
        <is>
          <t>2.1</t>
        </is>
      </c>
      <c r="C31" t="inlineStr">
        <is>
          <t>Drone-centric target acceptance alignment</t>
        </is>
      </c>
      <c r="D31" t="inlineStr">
        <is>
          <t>M</t>
        </is>
      </c>
      <c r="E31" t="inlineStr">
        <is>
          <t>Reworded the nine target-only Pending cases to align with SF plus five transactional Main Flows, mission-specific Drone Mission Planning, order-snapshotted dynamic policies, authorized payment-partner capability limits, and maintenance retention/warranty. Case count, stable IDs, historical Passed evidence and workbook sheets remain unchanged; no target runtime test was run.</t>
        </is>
      </c>
      <c r="F31" t="inlineStr">
        <is>
          <t>Report 3 target SRS; `project-reference/business-flows.md`; `01-test-cases/test-case-list.md`; FE-03/FE-06/FE-07 sources; `test-statistics.md`</t>
        </is>
      </c>
    </row>
    <row r="32">
      <c r="A32" t="inlineStr">
        <is>
          <t>2026-10-06</t>
        </is>
      </c>
      <c r="B32" t="inlineStr">
        <is>
          <t>2.2</t>
        </is>
      </c>
      <c r="C32" t="inlineStr">
        <is>
          <t>Direct-transfer target case re-scope</t>
        </is>
      </c>
      <c r="D32" t="inlineStr">
        <is>
          <t>M</t>
        </is>
      </c>
      <c r="E32" t="inlineStr">
        <is>
          <t>Re-scoped the nine Pending target cases to the direct-transfer contract: e-signature makes the contract effective, the System issues a Payment Invoice, the Client transfers 100% to the Provider account, the Provider confirms receipt (`PAID`), and the Platform invoices its commission separately. Payment-partner, escrow, advance-funding and retention scenarios were removed; a complaint is a `DISPUTED` workflow pause with no money held, and warranty is a snapshotted duration countdown with no amount retained. Descriptive text, preconditions and notes of still-Pending target rows only — case IDs, statuses, and all executed results are untouched, and every target case remains `Pending`.</t>
        </is>
      </c>
      <c r="F32" t="inlineStr">
        <is>
          <t>Report 3 target SRS; `project-reference/business-flows.md` (v3.3); `01-test-cases/test-case-list.md`; FE-03/FE-06/FE-07/FE-08 sources; `test-statistics.md`; `template-layout.md`</t>
        </is>
      </c>
    </row>
    <row r="33">
      <c r="A33" t="inlineStr">
        <is>
          <t>2026-10-06</t>
        </is>
      </c>
      <c r="B33" t="inlineStr">
        <is>
          <t>2.3</t>
        </is>
      </c>
      <c r="C33" t="inlineStr">
        <is>
          <t>New-branch runtime, Report 5 execution status unchanged</t>
        </is>
      </c>
      <c r="D33" t="inlineStr">
        <is>
          <t>M</t>
        </is>
      </c>
      <c r="E33" t="inlineStr">
        <is>
          <t>Recorded backend MF2 mission-plan runtime and V22 MF3 author/completeness stamping (PR #54, branch `feat/supporting-code-no-mainflows`, `364a23e` + `1de6a7a`) delivered under the supporting-code branch; backend MF2 integration tests were added there (`DroneMissionPlanTest`, `MissionPlanApiIntegrationTest`, `MissionShotItemCoordinateConstraintTest`). **Report 5 execution status is unchanged**: MF2 cases remain `Pending` until an executed run is recorded against the merged baseline. No case was marked `Passed`, no statistics recalculated.</t>
        </is>
      </c>
      <c r="F33" t="inlineStr">
        <is>
          <t>Backend PR #54; `project-reference/mf1-mf5-contract-matrix.md`; `project-reference/database-design.md`; FE-capability alignment via frontend PR #10 and mobile PR #6 noted as client-side contract sync, not new runs.</t>
        </is>
      </c>
    </row>
    <row r="34">
      <c r="A34" t="inlineStr">
        <is>
          <t>2026-10-07</t>
        </is>
      </c>
      <c r="B34" t="inlineStr">
        <is>
          <t>2.4</t>
        </is>
      </c>
      <c r="C34" t="inlineStr">
        <is>
          <t>Enterprise SaaS target and backend reset alignment</t>
        </is>
      </c>
      <c r="D34" t="inlineStr">
        <is>
          <t>M</t>
        </is>
      </c>
      <c r="E34" t="inlineStr">
        <is>
          <t>Aligned Report 5 sources to the 2026-10-07 Enterprise SaaS target and backend reset scope: target rows `WF2-005`–`WF4-005` and FE-01 supporting gates now describe role-scoped access and MF1–MF4 acceptance criteria for `ADMIN`/`ORG_ADMIN`/`INSPECTOR`/`MAINTENANCE_ENGINEER` instead of Provider/Client marketplace, six-role, direct-transfer settlement or commission scope. Historical v1 Passed evidence retained as-is with explicit 'historical v1' labels. FE-08 remains an explicit coverage gap. No case IDs, statuses, rounds, dates, testers or totals changed; zero new runtime executions.</t>
        </is>
      </c>
      <c r="F34" t="inlineStr">
        <is>
          <t>Report 3 SRS 2026-10-07; `project-reference/database-design.md`; backend reset plan; `README.md`; `00-cover/cover.md`</t>
        </is>
      </c>
    </row>
    <row r="35">
      <c r="A35" t="inlineStr">
        <is>
          <t>2026-10-07</t>
        </is>
      </c>
      <c r="B35" t="inlineStr">
        <is>
          <t>2.5</t>
        </is>
      </c>
      <c r="C35" t="inlineStr">
        <is>
          <t>Documentation status and evidence preservation</t>
        </is>
      </c>
      <c r="D35" t="inlineStr">
        <is>
          <t>M</t>
        </is>
      </c>
      <c r="E35" t="inlineStr">
        <is>
          <t>Clarified that prior WF1–WF4 results are historical v1 evidence, not current reset-branch verification; stated that MF1–MF4 target workflow cases remain unexecuted and all nine target cases remain `Pending`. Preserved all case IDs, per-round statuses, dates, testers, historical test notes, counts (33: 13 Passed, 20 Pending, 0 Failed, 0 N/A) and the workbook template. Added no test execution or new evidence.</t>
        </is>
      </c>
      <c r="F35" t="inlineStr">
        <is>
          <t>`README.md`; `01-test-cases/test-case-list.md`; `02-test-statistics/test-statistics.md`; Report 5 feature sources; backend reset status 2026-10-07; `00-cover/cover.md`</t>
        </is>
      </c>
    </row>
    <row r="36">
      <c r="A36" t="inlineStr">
        <is>
          <t>2026-10-08</t>
        </is>
      </c>
      <c r="B36" t="inlineStr">
        <is>
          <t>2.6</t>
        </is>
      </c>
      <c r="C36" t="inlineStr">
        <is>
          <t>Enterprise SaaS reset execution recorded</t>
        </is>
      </c>
      <c r="D36" t="inlineStr">
        <is>
          <t>M</t>
        </is>
      </c>
      <c r="E36" t="inlineStr">
        <is>
          <t>Recorded the executed V24/V25/V26 reset verification: backend `./mvnw clean verify` passed 88 tests (organization registration writing `ORGANIZATION_REGISTRATION` to `audit_events`, fail-closed role migration, exact 41-table target inventory, Modulith boundaries); frontend 128 tests plus build; mobile 16 tests with format/analyze clean. Added Round 2 FE-01 sections for these gates. **No workbook case status changed**: all nine target MF1-MF4 cases remain `Pending`, and all historical v1 results, IDs, dates and testers are preserved. Corrected current-state documentation that described the cutover as incomplete or referenced the dropped `security_audit_events` table and a non-existent mobile registration endpoint.</t>
        </is>
      </c>
      <c r="F36" t="inlineStr">
        <is>
          <t>`mvnw clean verify`; `npm run lint &amp;&amp; npm test &amp;&amp; npm run build`; `flutter test`; `V26__enterprise_saas_runtime_cutover.sql`; `project-reference/database-design.md`; `backend/architecture.md`; `backend/authentication-and-authorization.md`</t>
        </is>
      </c>
    </row>
    <row r="37">
      <c r="A37" t="inlineStr">
        <is>
          <t>2026-10-08</t>
        </is>
      </c>
      <c r="B37" t="inlineStr">
        <is>
          <t>2.7</t>
        </is>
      </c>
      <c r="C37" t="inlineStr">
        <is>
          <t>Current business-flow reference restored</t>
        </is>
      </c>
      <c r="D37" t="inlineStr">
        <is>
          <t>M</t>
        </is>
      </c>
      <c r="E37" t="inlineStr">
        <is>
          <t>Recorded that the four-role Enterprise SaaS business-flow reference `project-reference/business-flows.md` v4.0 now replaces the historical marketplace flow document, and that `project-reference/_index.md` points at it. Document-only change: **no test case ID, status, round, date, tester, statistic or historical evidence was changed**, and no test execution is claimed. All nine target MF1-MF4 cases (`WF2-005`-`WF2-007`, `WF3-005`-`WF4-005`) remain `Pending`; historical v1 results are preserved.</t>
        </is>
      </c>
      <c r="F37" t="inlineStr">
        <is>
          <t>`project-reference/business-flows.md`; `project-reference/_index.md`; `01-test-cases/test-case-list.md`; `02-test-statistics/test-statistics.md`</t>
        </is>
      </c>
    </row>
    <row r="38">
      <c r="A38" t="inlineStr">
        <is>
          <t>2026-10-08</t>
        </is>
      </c>
      <c r="B38" t="inlineStr">
        <is>
          <t>2.8</t>
        </is>
      </c>
      <c r="C38" t="inlineStr">
        <is>
          <t>MF3 workflow implemented and verified</t>
        </is>
      </c>
      <c r="D38" t="inlineStr">
        <is>
          <t>M</t>
        </is>
      </c>
      <c r="E38" t="inlineStr">
        <is>
          <t>Recorded the executed MF3 verification for the four-role target: evidence intake with server-side checksum and idempotent re-upload, the Inspector's evidence-quality decision gating analysis and drafting, advisory AI candidates with the manual finding path preserved on inference outage, report authoring including the **manual structured draft** that Report 3 requires when drafting is unavailable, author verification and submission, independent ORG_ADMIN return/approve, and immutable publication handing only repair-required findings to MF4. Promoted `WF3-005` and `WF3-006` to `Passed` for Round 1; `WF3-007` and `WF3-008` remain `Pending` because they describe MF4, which is not implemented. Three defects found by this run were fixed and covered by new tests: a `jsonb` column receiving Inspector prose, a draft that never moved the inspection out of `FIELD_COMPLETED` so every publish failed, and a missing-report lookup that surfaced an empty state as an error. Also fixed the `AUTH_ALLOWED_ORIGINS` default, which omitted the Vite dev-server origin and blocked browser login.</t>
        </is>
      </c>
      <c r="F38" t="inlineStr">
        <is>
          <t>`InspectionEvidenceApiIntegrationTest` (10); `InspectionReportApiIntegrationTest` (13); `InspectionReportVersionTest` (11); `AiFindingCandidateTest` (4); backend `./mvnw.cmd verify` 135 tests; frontend `npm test` 133 tests, `npm run build`, `npm run lint`; mobile `flutter test` 16 tests, `flutter analyze`, `dart format --set-exit-if-changed .`; `V27__mf3_report_workflow.sql`; `backend/flows/inspections-and-reports.md`; `backend/architecture.md`</t>
        </is>
      </c>
    </row>
    <row r="39">
      <c r="A39" t="inlineStr">
        <is>
          <t>2026-10-08</t>
        </is>
      </c>
      <c r="B39" t="inlineStr">
        <is>
          <t>2.9</t>
        </is>
      </c>
      <c r="C39" t="inlineStr">
        <is>
          <t>Compatible vision provider and candidate verification</t>
        </is>
      </c>
      <c r="D39" t="inlineStr">
        <is>
          <t>M</t>
        </is>
      </c>
      <c r="E39" t="inlineStr">
        <is>
          <t>Added an optional OpenAI-compatible vision adapter with mutually exclusive YOLO selection and environment-only credentials. Added adapter/configuration tests and HTTP integration coverage for accepted evidence, assignment authorization, model metadata and `PENDING` persistence. A live `capstone` call on a Wikimedia Commons CC0 iron-bridge corrosion photo returned three candidates with provider provenance and normalized boxes; the authenticated Playwright UI displayed all three with provenance, confidence and review actions. No workbook case status or totals changed; MF1/MF2/MF4 target cases remain pending.</t>
        </is>
      </c>
      <c r="F39" t="inlineStr">
        <is>
          <t>`AiInferenceConfigurationTest` (4); `OpenAiCompatibleInferenceClientTest` (5); `InspectionReportApiIntegrationTest` (14); `ReportDraftClientTest` (3); `YoloInferenceConfigurationTest` (3); backend `./mvnw.cmd verify` failed at existing `V24TargetSchemaAlignmentTest` (144 passed, 1 failed); frontend `npm run lint`, `npm run build`, `npm test -- --run` (136 passed); live API, persisted candidates, and Playwright UI inspection; `backend/flows/inspections-and-reports.md`; `backend/architecture.md`</t>
        </is>
      </c>
    </row>
    <row r="40">
      <c r="A40" t="inlineStr">
        <is>
          <t>2026-10-09</t>
        </is>
      </c>
      <c r="B40" t="inlineStr">
        <is>
          <t>3.0</t>
        </is>
      </c>
      <c r="C40" t="inlineStr">
        <is>
          <t>Report reset to the implemented MF3 slice</t>
        </is>
      </c>
      <c r="D40" t="inlineStr">
        <is>
          <t>D</t>
        </is>
      </c>
      <c r="E40" t="inlineStr">
        <is>
          <t>Removed 28 cases describing behavior that no longer exists or was never implemented: `WF1-001`–`WF1-019` and `WF2-001`–`WF2-007` (retired five-role asset/schedule/quotation/order/assignment baseline plus unimplemented MF1/MF2 targets), `WF3-001` (no `/assignments`, `/start`, or `/checklist` endpoint), `WF3-004` (five-role Manager release and Client acceptance), `WF3-007` and `WF3-008` (MF4 gates despite the `WF3` prefix), and `WF4-001`–`WF4-005` (unimplemented MF4). Totals moved from 33 cases / 13 Passed / 20 Pending to 5 cases / 5 Passed / 0 Pending. Removed IDs stay reserved; new cases continue from `WF3-009`. FE-02, FE-03, FE-07 and FE-08 now record explicit coverage gaps. The drop from 13 Passed to 5 reflects removed inapplicable cases and is not a regression.</t>
        </is>
      </c>
      <c r="F40" t="inlineStr">
        <is>
          <t>`01-test-cases/test-case-list.md`; `02-test-statistics/test-statistics.md`; all eight `03-features/` sources</t>
        </is>
      </c>
    </row>
    <row r="41">
      <c r="A41" t="inlineStr">
        <is>
          <t>2026-10-09</t>
        </is>
      </c>
      <c r="B41" t="inlineStr">
        <is>
          <t>3.1</t>
        </is>
      </c>
      <c r="C41" t="inlineStr">
        <is>
          <t>MF3 scoped collection endpoint verified</t>
        </is>
      </c>
      <c r="D41" t="inlineStr">
        <is>
          <t>A</t>
        </is>
      </c>
      <c r="E41" t="inlineStr">
        <is>
          <t>Added `WF3-009` (`Passed`) for `GET /api/v1/inspections` and `GET /api/v1/inspections/with-reports`, replacing the hand-entered inspection identifier on the Inspections and Reports screens. `InspectionListApiIntegrationTest` (11 tests) covers assignment scope, organization scope, platform cross-tenant read, `MAINTENANCE_ENGINEER` refusal, the report-only filter, the inline report summary, and paging bounds with clamping. Two test-helper defects fixed during the run (cross-tenant fixtures violated composite asset/inspector tenant foreign keys). Report 3 SRS §3.5.1 added. Backend `./mvnw.cmd -o verify` passed 156 tests but failed the pre-existing JaCoCo gate at 78% vs the required 80%; frontend `npm run lint`, `npm run build`, `npm test -- --run` (159 passed).</t>
        </is>
      </c>
      <c r="F41" t="inlineStr">
        <is>
          <t>`InspectionListApiIntegrationTest`; `InspectionListController`; `InspectionListService`; Report 3 SRS §3.5.1; `backend/flows/inspections-and-reports.md`</t>
        </is>
      </c>
    </row>
    <row r="42">
      <c r="A42" t="inlineStr">
        <is>
          <t>2026-10-09</t>
        </is>
      </c>
      <c r="B42" t="inlineStr">
        <is>
          <t>3.2</t>
        </is>
      </c>
      <c r="C42" t="inlineStr">
        <is>
          <t>JaCoCo 80% coverage gate closed</t>
        </is>
      </c>
      <c r="D42" t="inlineStr">
        <is>
          <t>A</t>
        </is>
      </c>
      <c r="E42" t="inlineStr">
        <is>
          <t>Recorded the executed gate closure with `ReportDraftConfigurationTest` (6 tests) over the draft-client startup validation: no client is created unless endpoint, API key, model name and a positive timeout are all present, so a partially configured drafting service fails at startup instead of at the first manual report. Coverage rose from 78% to 80.47% lines / 80.34% instructions, closing a gate that had failed since before this work (74.66% on the original baseline). No code was excluded to achieve it. Backend `./mvnw.cmd -o verify` now passes 162 tests, 0 failures, 0 errors, Spotless and Spring Modulith boundary test clean. No workbook case status or totals changed.</t>
        </is>
      </c>
      <c r="F42" t="inlineStr">
        <is>
          <t>`ReportDraftConfigurationTest`; backend `./mvnw.cmd -o verify`; `02-test-statistics/test-statistics.md`</t>
        </is>
      </c>
    </row>
    <row r="43">
      <c r="A43" t="inlineStr">
        <is>
          <t>2026-10-10</t>
        </is>
      </c>
      <c r="B43" t="inlineStr">
        <is>
          <t>3.3</t>
        </is>
      </c>
      <c r="C43" t="inlineStr">
        <is>
          <t>Sources reconciled against the supplied workbook</t>
        </is>
      </c>
      <c r="D43" t="inlineStr">
        <is>
          <t>M</t>
        </is>
      </c>
      <c r="E43" t="inlineStr">
        <is>
          <t>Read the supplied `Report5_Test Report.xlsx` directly with openpyxl and corrected the editable sources to match it: Cover change-table headers set to the sheet's own `*A,D,M` / `Change description`; `Module code` reduced to the plain sheet names because `Test Statistics!C11:C12` are formulas pointing at the feature sheets; coverage formulas rewritten to the template's own `(Passed + Failed) × 100 ÷ (Number of TCs − N/A)`; four verified template defects documented, including the stray `6` in `Feature 2!A18` that `COUNTA(A12:A998)` would count as a sixth test case; the `Feature 2` summary block and export metadata blocks recorded because the Markdown had no equivalent. Unverified colour names removed. **No case ID, status, round, date, tester, evidence or total changed** — still 5 cases, 5 `Passed` — and no test execution is claimed. The workbook under `template/` is byte-for-byte identical to the supplied file (SHA-256 verified) and was not edited.</t>
        </is>
      </c>
      <c r="F43" t="inlineStr">
        <is>
          <t>openpyxl 3.1.5 read of all five sheets, defined names and formulas; `template-layout.md`; `README.md`; `00-cover/cover.md`; `02-test-statistics/test-statistics.md`; `03-features/fe-04-…`, `fe-05-…`, `fe-06-…`</t>
        </is>
      </c>
    </row>
    <row r="44">
      <c r="A44" t="inlineStr">
        <is>
          <t>2026-10-10</t>
        </is>
      </c>
      <c r="B44" t="inlineStr">
        <is>
          <t>3.4</t>
        </is>
      </c>
      <c r="C44" t="inlineStr">
        <is>
          <t>FE scope baselines rewritten from Report 3</t>
        </is>
      </c>
      <c r="D44" t="inlineStr">
        <is>
          <t>M</t>
        </is>
      </c>
      <c r="E44" t="inlineStr">
        <is>
          <t>Rewrote the `Scope baseline` section of every FE file from Report 3, the authoritative SRS. FE-01 maps each §3.2 entitlement/authority requirement to a verified or unverified state. FE-02 reproduces MF1-01–MF1-14 with the asset-plus-pair atomicity gate and the no-rewrite-of-past-snapshots rule. FE-03 reproduces MF2-01–MF2-12, including that accepting an assignment does not establish readiness and that Start never arms the aircraft. FE-07 reproduces the §3.8.1 responsibility table and separation-of-duties rules. FE-08 reproduces §3.9 role-specific views and the rule keeping candidate/draft counts separate from approved findings. FE-06 lists §3.7.2 and §3.7.3 as unverified. Added "steps that would be covered first" tables for the unimplemented flows. Fixed a cross-document error: Report 3's change log pointed §3.5.1 at the deleted `WF3-007`; it is `WF3-009`. **No case ID, status, round, date, tester, evidence or total changed** — still 5 cases, 5 `Passed` — and no test execution is claimed.</t>
        </is>
      </c>
      <c r="F44" t="inlineStr">
        <is>
          <t>Report 3 §3.2–§3.9 and `05-requirement-appendix.md` §5.4; all eight `03-features/` sources; `README.md`; `02-test-statistics/test-statistics.md`; `report-3/.../00-record-of-changes.md`</t>
        </is>
      </c>
    </row>
    <row r="45">
      <c r="A45" t="inlineStr">
        <is>
          <t>2026-10-10</t>
        </is>
      </c>
      <c r="B45" t="inlineStr">
        <is>
          <t>3.5</t>
        </is>
      </c>
      <c r="C45" t="inlineStr">
        <is>
          <t>Workbook cell-level re-audit</t>
        </is>
      </c>
      <c r="D45" t="inlineStr">
        <is>
          <t>M</t>
        </is>
      </c>
      <c r="E45" t="inlineStr">
        <is>
          <t>Re-read the supplied workbook cell by cell, including borders, fills and column widths, and corrected three claims the first pass got wrong. (1) `Module code` was documented as carrying the sheet name; it is a formula reading the feature sheet's `Feature` cell `B2`, so it must carry the module name — corrected and cross-referenced to the `Feature 2` summary block. (2) The trailing columns `P:R` were described as inside a bordered summary block; they carry no border, `R2:R5` is a status legend and `Q10` is a borderless leftover fill. (3) The export metadata table listed `Cover` ranges that do not exist; `Version` has no merge, so its value belongs in `F6`, and exact label/value cells for all three sheets are now listed. Added the `Feature 1` summary block to `fe-03-…md` because `Test Statistics!C11` reads `Feature 1!B2` even though that sheet has no cases. **No case ID, status, round, date, tester, evidence or total changed** and no test execution is claimed; the supplied workbook was not edited.</t>
        </is>
      </c>
      <c r="F45" t="inlineStr">
        <is>
          <t>openpyxl read of values, formulas, merged ranges, borders and column widths across all five sheets; `template-layout.md`; `README.md`; `02-test-statistics/test-statistics.md`; `03-features/fe-03-…`, `fe-04-…`</t>
        </is>
      </c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SmartDroneInspection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SEP490 — *confirm with project owner*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&lt;List enviroment requires in this system
1. Server
2. Database
3. Web Browser
...
&gt;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inlineStr">
        <is>
          <t>1</t>
        </is>
      </c>
      <c r="C9" s="21" t="inlineStr">
        <is>
          <t>`[WF3-002]` FE-04 — MF3 evidence and traceability</t>
        </is>
      </c>
      <c r="D9" s="101" t="inlineStr">
        <is>
          <t>Feature 2</t>
        </is>
      </c>
      <c r="E9" s="22" t="inlineStr">
        <is>
          <t>Assigned Inspector uploads supported evidence with a server-computed checksum and source metadata, retry-safe persistence, and scoped read access; the Inspector records the substantive evidence-quality decision.</t>
        </is>
      </c>
      <c r="F9" s="23" t="inlineStr">
        <is>
          <t>Assigned inspection past field work; valid image, PostgreSQL, and an S3-compatible endpoint (S3Mock in CI, MinIO at runtime).</t>
        </is>
      </c>
    </row>
    <row r="10" ht="14" customHeight="1">
      <c r="B10" s="20" t="inlineStr">
        <is>
          <t>2</t>
        </is>
      </c>
      <c r="C10" s="21" t="inlineStr">
        <is>
          <t>`[WF3-003]` FE-05 — MF3 AI candidate and finding review</t>
        </is>
      </c>
      <c r="D10" s="101" t="inlineStr">
        <is>
          <t>Feature 2</t>
        </is>
      </c>
      <c r="E10" s="22" t="inlineStr">
        <is>
          <t>Inspector reviews AI candidates or records a manual finding; pending/rejected detections stay non-official, and AI failure preserves the manual path.</t>
        </is>
      </c>
      <c r="F10" s="23" t="inlineStr">
        <is>
          <t>Accepted evidence set; deterministic inference stub or manual fallback available.</t>
        </is>
      </c>
    </row>
    <row r="11" ht="14" customHeight="1">
      <c r="B11" s="20" t="inlineStr">
        <is>
          <t>3</t>
        </is>
      </c>
      <c r="C11" s="21" t="inlineStr">
        <is>
          <t>`[WF3-005]` FE-06 — MF3 human verification gates</t>
        </is>
      </c>
      <c r="D11" s="101" t="inlineStr">
        <is>
          <t>Feature 2</t>
        </is>
      </c>
      <c r="E11" s="22" t="inlineStr">
        <is>
          <t>Candidates and the report draft are verified by the author Inspector and approved by a qualified ORG_ADMIN before publication; a manual structured draft remains possible when drafting is unavailable.</t>
        </is>
      </c>
      <c r="F11" s="23" t="inlineStr">
        <is>
          <t>Confirmed evidence set, an assigned Inspector, and a qualified reviewer in the same organization.</t>
        </is>
      </c>
    </row>
    <row r="12" ht="14" customHeight="1">
      <c r="B12" s="20" t="inlineStr">
        <is>
          <t>4</t>
        </is>
      </c>
      <c r="C12" s="21" t="inlineStr">
        <is>
          <t>`[WF3-006]` FE-06 — MF3 immutable approved report</t>
        </is>
      </c>
      <c r="D12" s="101" t="inlineStr">
        <is>
          <t>Feature 2</t>
        </is>
      </c>
      <c r="E12" s="22" t="inlineStr">
        <is>
          <t>The approved report version is immutable and source-traceable, and hands only repair-required findings to MF4.</t>
        </is>
      </c>
      <c r="F12" s="23" t="inlineStr">
        <is>
          <t>Published MF3 review artifacts exist.</t>
        </is>
      </c>
    </row>
    <row r="13" ht="14" customHeight="1">
      <c r="B13" s="20" t="inlineStr">
        <is>
          <t>5</t>
        </is>
      </c>
      <c r="C13" s="21" t="inlineStr">
        <is>
          <t>`[WF3-009]` FE-04 — MF3 scoped inspection and report collections</t>
        </is>
      </c>
      <c r="D13" s="101" t="inlineStr">
        <is>
          <t>Feature 2</t>
        </is>
      </c>
      <c r="E13" s="22" t="inlineStr">
        <is>
          <t>A caller reaches MF3 through a server-paged, role-scoped list instead of a hand-entered identifier; the report review queue is the same collection filtered to inspections that carry a report.</t>
        </is>
      </c>
      <c r="F13" s="23" t="inlineStr">
        <is>
          <t>Two organizations and fixtures for each of the four roles exist.</t>
        </is>
      </c>
    </row>
    <row r="14">
      <c r="B14" s="20" t="n"/>
      <c r="C14" s="21" t="n"/>
      <c r="D14" s="24" t="n"/>
      <c r="E14" s="24" t="n"/>
      <c r="F14" s="23" t="n"/>
    </row>
    <row r="15">
      <c r="B15" s="20" t="n"/>
      <c r="C15" s="21" t="n"/>
      <c r="D15" s="24" t="n"/>
      <c r="E15" s="24" t="n"/>
      <c r="F15" s="23" t="n"/>
    </row>
    <row r="16">
      <c r="B16" s="20" t="n"/>
      <c r="C16" s="21" t="n"/>
      <c r="D16" s="24" t="n"/>
      <c r="E16" s="24" t="n"/>
      <c r="F16" s="23" t="n"/>
    </row>
    <row r="17">
      <c r="B17" s="20" t="n"/>
      <c r="C17" s="21" t="n"/>
      <c r="D17" s="24" t="n"/>
      <c r="E17" s="24" t="n"/>
      <c r="F17" s="23" t="n"/>
    </row>
    <row r="18">
      <c r="B18" s="20" t="n"/>
      <c r="C18" s="21" t="n"/>
      <c r="D18" s="24" t="n"/>
      <c r="E18" s="24" t="n"/>
      <c r="F18" s="23" t="n"/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&lt;Project Name&gt;</t>
        </is>
      </c>
      <c r="D3" s="151" t="n"/>
      <c r="E3" s="106" t="inlineStr">
        <is>
          <t>Creator</t>
        </is>
      </c>
      <c r="F3" s="151" t="n"/>
      <c r="G3" s="55" t="n"/>
      <c r="H3" s="56" t="n"/>
    </row>
    <row r="4" ht="12" customHeight="1">
      <c r="B4" s="2" t="inlineStr">
        <is>
          <t>Project Code</t>
        </is>
      </c>
      <c r="C4" s="105" t="inlineStr">
        <is>
          <t>&lt;Project Code&gt;</t>
        </is>
      </c>
      <c r="D4" s="151" t="n"/>
      <c r="E4" s="106" t="inlineStr">
        <is>
          <t>Reviewer/Approver</t>
        </is>
      </c>
      <c r="F4" s="151" t="n"/>
      <c r="G4" s="55" t="n"/>
      <c r="H4" s="56" t="n"/>
    </row>
    <row r="5" ht="12" customHeight="1">
      <c r="B5" s="57" t="inlineStr">
        <is>
          <t>Document Code</t>
        </is>
      </c>
      <c r="C5" s="105">
        <f>C4&amp;"_"&amp;"Test Report"&amp;"_"&amp;"vx.x"</f>
        <v/>
      </c>
      <c r="D5" s="151" t="n"/>
      <c r="E5" s="106" t="inlineStr">
        <is>
          <t>Issue Date</t>
        </is>
      </c>
      <c r="F5" s="151" t="n"/>
      <c r="G5" s="55" t="n"/>
      <c r="H5" s="58" t="inlineStr">
        <is>
          <t>&lt;Date when this test report is created&gt;</t>
        </is>
      </c>
    </row>
    <row r="6" ht="21.75" customHeight="1">
      <c r="A6" s="52" t="n"/>
      <c r="B6" s="57" t="inlineStr">
        <is>
          <t>Notes</t>
        </is>
      </c>
      <c r="C6" s="107" t="inlineStr">
        <is>
          <t>&lt;List modules included in this release&gt; ex: Release 1 includes 2 modules: Module1 and Module2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'Feature 1'!B2</f>
        <v/>
      </c>
      <c r="D11" s="71">
        <f>'Feature 1'!B6</f>
        <v/>
      </c>
      <c r="E11" s="71">
        <f>'Feature 1'!C6</f>
        <v/>
      </c>
      <c r="F11" s="71">
        <f>'Feature 1'!D6</f>
        <v/>
      </c>
      <c r="G11" s="71">
        <f>'Feature 1'!E6</f>
        <v/>
      </c>
      <c r="H11" s="73">
        <f>'Feature 1'!B4</f>
        <v/>
      </c>
    </row>
    <row r="12">
      <c r="A12" s="68" t="n"/>
      <c r="B12" s="69" t="n">
        <v>2</v>
      </c>
      <c r="C12" s="70">
        <f>'Feature 2'!B2</f>
        <v/>
      </c>
      <c r="D12" s="71">
        <f>'Feature 2'!B6</f>
        <v/>
      </c>
      <c r="E12" s="71">
        <f>'Feature 2'!C6</f>
        <v/>
      </c>
      <c r="F12" s="71">
        <f>'Feature 2'!D6</f>
        <v/>
      </c>
      <c r="G12" s="71">
        <f>'Feature 2'!E6</f>
        <v/>
      </c>
      <c r="H12" s="71">
        <f>'Feature 2'!B4</f>
        <v/>
      </c>
    </row>
    <row r="13">
      <c r="A13" s="68" t="n"/>
      <c r="B13" s="69" t="n"/>
      <c r="C13" s="70" t="n"/>
      <c r="D13" s="71" t="n"/>
      <c r="E13" s="71" t="n"/>
      <c r="F13" s="71" t="n"/>
      <c r="G13" s="72" t="n"/>
      <c r="H13" s="73" t="n"/>
    </row>
    <row r="14">
      <c r="A14" s="68" t="n"/>
      <c r="B14" s="74" t="n"/>
      <c r="C14" s="75" t="inlineStr">
        <is>
          <t>Sub total</t>
        </is>
      </c>
      <c r="D14" s="76">
        <f>SUM(D9:D13)</f>
        <v/>
      </c>
      <c r="E14" s="76">
        <f>SUM(E9:E13)</f>
        <v/>
      </c>
      <c r="F14" s="76">
        <f>SUM(F9:F13)</f>
        <v/>
      </c>
      <c r="G14" s="76">
        <f>SUM(G9:G13)</f>
        <v/>
      </c>
      <c r="H14" s="77">
        <f>SUM(H9:H13)</f>
        <v/>
      </c>
    </row>
    <row r="15">
      <c r="A15" s="61" t="n"/>
      <c r="B15" s="78" t="n"/>
      <c r="C15" s="61" t="n"/>
      <c r="D15" s="79" t="n"/>
      <c r="E15" s="80" t="n"/>
      <c r="F15" s="80" t="n"/>
      <c r="G15" s="80" t="n"/>
      <c r="H15" s="80" t="n"/>
    </row>
    <row r="16">
      <c r="A16" s="61" t="n"/>
      <c r="B16" s="61" t="n"/>
      <c r="C16" s="81" t="inlineStr">
        <is>
          <t>Test coverage</t>
        </is>
      </c>
      <c r="D16" s="61" t="n"/>
      <c r="E16" s="82">
        <f>(D14+E14)*100/(H14-G14)</f>
        <v/>
      </c>
      <c r="F16" s="61" t="inlineStr">
        <is>
          <t>%</t>
        </is>
      </c>
      <c r="G16" s="61" t="n"/>
      <c r="H16" s="36" t="n"/>
    </row>
    <row r="17">
      <c r="A17" s="61" t="n"/>
      <c r="B17" s="61" t="n"/>
      <c r="C17" s="81" t="inlineStr">
        <is>
          <t>Test successful coverage</t>
        </is>
      </c>
      <c r="D17" s="61" t="n"/>
      <c r="E17" s="82">
        <f>D14*100/(H14-G14)</f>
        <v/>
      </c>
      <c r="F17" s="61" t="inlineStr">
        <is>
          <t>%</t>
        </is>
      </c>
      <c r="G17" s="61" t="n"/>
      <c r="H17" s="36" t="n"/>
    </row>
    <row r="18">
      <c r="C18" s="61" t="n"/>
      <c r="D18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R51"/>
  <sheetViews>
    <sheetView zoomScale="85" zoomScaleNormal="85" workbookViewId="0">
      <pane ySplit="10" topLeftCell="A11" activePane="bottomLeft" state="frozen"/>
      <selection pane="bottomLeft" activeCell="E23" sqref="E23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/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/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COUNTA(A12:A1000)</f>
        <v/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n"/>
      <c r="B12" s="43" t="n"/>
      <c r="C12" s="43" t="n"/>
      <c r="D12" s="44" t="n"/>
      <c r="E12" s="44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5" t="n"/>
      <c r="Q12" s="46" t="n"/>
    </row>
    <row r="13" outlineLevel="1" ht="14" customHeight="1">
      <c r="A13" s="42" t="n"/>
      <c r="B13" s="42" t="n"/>
      <c r="C13" s="42" t="n"/>
      <c r="D13" s="48" t="n"/>
      <c r="E13" s="48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5" t="n"/>
      <c r="Q13" s="46" t="n"/>
    </row>
    <row r="14" outlineLevel="1" ht="14" customHeight="1">
      <c r="A14" s="42" t="n"/>
      <c r="B14" s="42" t="n"/>
      <c r="C14" s="42" t="n"/>
      <c r="D14" s="48" t="n"/>
      <c r="E14" s="48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5" t="n"/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3">
    <mergeCell ref="B3:E3"/>
    <mergeCell ref="B2:E2"/>
    <mergeCell ref="B4:E4"/>
  </mergeCells>
  <dataValidations disablePrompts="1"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R51"/>
  <sheetViews>
    <sheetView zoomScale="85" zoomScaleNormal="85" workbookViewId="0">
      <pane ySplit="10" topLeftCell="A11" activePane="bottomLeft" state="frozen"/>
      <selection pane="bottomLeft" activeCell="D12" sqref="D12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3.332031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/>
      <c r="C2" s="153" t="n"/>
      <c r="D2" s="153" t="n"/>
      <c r="E2" s="154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/>
      <c r="C3" s="155" t="n"/>
      <c r="D3" s="155" t="n"/>
      <c r="E3" s="156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COUNTA(A12:A998)</f>
        <v/>
      </c>
      <c r="C4" s="155" t="n"/>
      <c r="D4" s="155" t="n"/>
      <c r="E4" s="156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COUNTIF($F10:$F996,B5)</f>
        <v/>
      </c>
      <c r="C6" s="92">
        <f>COUNTIF($F10:$F996,C5)</f>
        <v/>
      </c>
      <c r="D6" s="92">
        <f>COUNTIF($F10:$F996,D5)</f>
        <v/>
      </c>
      <c r="E6" s="98">
        <f>COUNTIF($F10:$F996,E5)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D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121" customFormat="1" customHeight="1" s="47">
      <c r="A12" s="42" t="inlineStr">
        <is>
          <t>WF3-002</t>
        </is>
      </c>
      <c r="B12" s="43" t="inlineStr">
        <is>
          <t>Assigned Inspector uploads supported evidence with checksum and source traceability and records the evidence-quality decision.</t>
        </is>
      </c>
      <c r="C12" s="43" t="inlineStr">
        <is>
          <t>Upload a valid PNG; retry the identical bytes; list and stream the evidence as the assignee and as a same-organization ORG_ADMIN; attempt upload and read as an unrelated Inspector; submit an unsupported content type and a half-supplied GPS pair; record an accepted decision with prose shot-list comparison; attempt a limited decision with no reason.</t>
        </is>
      </c>
      <c r="D12" s="44" t="inlineStr">
        <is>
          <t>Object-store bytes and PostgreSQL metadata remain consistent; checksum/source/uploader are server-traceable; an identical re-upload returns the existing evidence rather than a duplicate; out-of-scope Inspectors are refused; unsupported content and half-supplied GPS are rejected; a limited/return decision without a stated reason is refused; the Inspector's prose survives the round trip.</t>
        </is>
      </c>
      <c r="E12" s="44" t="inlineStr">
        <is>
          <t>An assigned inspection in `FIELD_COMPLETED` or `REPORT_DRAFT`, PostgreSQL, and an S3-compatible store (S3Mock in CI, MinIO at runtime) with a supported image available.</t>
        </is>
      </c>
      <c r="F12" s="42" t="inlineStr">
        <is>
          <t>Passed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[FE-04] Verified by `InspectionEvidenceApiIntegrationTest` (10 tests), which ran again on 2026-10-09 within the full backend suite of 156 passing tests. Live MinIO runtime was exercised during the earlier browser walkthrough.</t>
        </is>
      </c>
      <c r="Q12" s="46" t="n"/>
    </row>
    <row r="13" outlineLevel="1" ht="14" customHeight="1">
      <c r="A13" s="42" t="inlineStr">
        <is>
          <t>WF3-009</t>
        </is>
      </c>
      <c r="B13" s="42" t="inlineStr">
        <is>
          <t>A caller reaches MF3 through a server-paged, role-scoped list, and the report queue is the same collection filtered to inspections that carry a report.</t>
        </is>
      </c>
      <c r="C13" s="42" t="inlineStr">
        <is>
          <t>List as an assigned Inspector who also belongs to an organization holding an inspection assigned to someone else; list as a same-organization ORG_ADMIN; list as an ORG_ADMIN from another organization; list as a platform ADMIN; list as a MAINTENANCE_ENGINEER; request page 1 size 2 then page 3 of 5 rows; request `pageSize=5000`; filter to inspections with a report; read a row's inline report summary.</t>
        </is>
      </c>
      <c r="D13" s="48" t="inlineStr">
        <is>
          <t>An Inspector sees only assigned inspections and never a colleague's; an ORG_ADMIN sees their own organization only and another organization sees nothing; a platform ADMIN reads across organizations but has no write path; MAINTENANCE_ENGINEER is refused; paging reports `totalCount`/`totalPages` and the last page holds the remainder; an oversized page size is clamped to 100; `/with-reports` returns only inspections carrying a report and carries each row's `reportStatus`/`reportVersionNo`.</t>
        </is>
      </c>
      <c r="E13" s="48" t="inlineStr">
        <is>
          <t>Two organizations with fixtures for `INSPECTOR`, `ORG_ADMIN` and platform `ADMIN`, plus a `MAINTENANCE_ENGINEER`; PostgreSQL via Testcontainers.</t>
        </is>
      </c>
      <c r="F13" s="42" t="inlineStr">
        <is>
          <t>Passed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[FE-04] Verified by `InspectionListApiIntegrationTest` (11 tests). The platform-ADMIN case asserts membership of both tenants rather than an absolute total, because the suite shares one container. Two test-helper defects were found and fixed during this run: creating a cross-tenant fixture inspection violated the composite `(asset_id, organization_id)` and `(inspector_id, organization_id)` foreign keys, which the helper had to satisfy.</t>
        </is>
      </c>
      <c r="Q13" s="46" t="n"/>
    </row>
    <row r="14" outlineLevel="1" ht="14" customHeight="1">
      <c r="A14" s="42" t="inlineStr">
        <is>
          <t>WF3-003</t>
        </is>
      </c>
      <c r="B14" s="42" t="inlineStr">
        <is>
          <t>Inspector verifies AI candidates or records a manual finding.</t>
        </is>
      </c>
      <c r="C14" s="42" t="inlineStr">
        <is>
          <t>Request analysis before the Inspector accepts the evidence set; analyze a representative accepted image; verify its returned candidate provenance, confidence, normalized box, and pending status; attempt analysis as a different Inspector; record a manual finding with prose measurement; record the reviewer's decision on the finding.</t>
        </is>
      </c>
      <c r="D14" s="48" t="inlineStr">
        <is>
          <t>Analysis is refused until the Inspector accepts the evidence; valid model detections are persisted only as `PENDING`; out-of-scope Inspectors are refused; a manual finding is available without analysis; a finding is official only after a `CONFIRMED` or `MODIFIED` decision.</t>
        </is>
      </c>
      <c r="E14" s="48" t="inlineStr">
        <is>
          <t>An assigned `FIELD_COMPLETED` inspection, accepted image evidence, PostgreSQL, and an authorized Inspector and ORG_ADMIN in the same organization.</t>
        </is>
      </c>
      <c r="F14" s="42" t="inlineStr">
        <is>
          <t>Passed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[FE-05] Verified with `InspectionReportApiIntegrationTest.analysisIsRefusedUntilTheInspectorAcceptsTheEvidence`, `analysisRequiresAssignmentAndAcceptedEvidenceAndPersistsOnlyPendingCandidates`, `manualFindingIsAvailableWithoutAnyAnalysis`, `aFindingMeasurementIsStorableAsProse`, and `anotherInspectorCannotAddAFinding`; plus `AiFindingCandidateTest` (4 candidate-review cases). These ran again on 2026-10-09 within the full backend suite of 156 passing tests. A live compatible-vision call against a Wikimedia Commons CC0 iron-bridge corrosion photograph returned three `PENDING` candidates with provider provenance and normalized boxes; the seeded 1x1 placeholder PNGs correctly returned none. No API key, prompt, or image bytes were recorded.</t>
        </is>
      </c>
      <c r="Q14" s="46" t="n"/>
    </row>
    <row r="15" ht="15.75" customFormat="1" customHeight="1" s="32">
      <c r="A15" s="86" t="inlineStr">
        <is>
          <t>WF3-005</t>
        </is>
      </c>
      <c r="B15" s="38" t="inlineStr">
        <is>
          <t>AI Vision candidates and the inspection-report draft are verified by the author Inspector before ORG_ADMIN publication.</t>
        </is>
      </c>
      <c r="C15" s="39" t="inlineStr">
        <is>
          <t>Provide eligible confirmed evidence; attempt analysis before the Inspector accepts the evidence set; confirm analysis is refused and manual finding entry still works; author a draft (automated where configured, otherwise the manual structured draft); verify and submit as the author Inspector; attempt a return without a reason; return with a reason; attempt to review one's own report; resubmit and approve as a qualified ORG_ADMIN.</t>
        </is>
      </c>
      <c r="D15" s="39" t="inlineStr">
        <is>
          <t>Only human-confirmed findings enter official outputs; the author Inspector's authorship and the qualified ORG_ADMIN's independent approval are recorded; unverified draft text cannot be published; a failed or unconfigured drafting service still permits a structured manual draft under the same review gates.</t>
        </is>
      </c>
      <c r="E15" s="39" t="inlineStr">
        <is>
          <t>Assigned inspection with an accepted evidence quality decision and a qualified reviewer in the same organization.</t>
        </is>
      </c>
      <c r="F15" s="39" t="inlineStr">
        <is>
          <t>Passed</t>
        </is>
      </c>
      <c r="G15" s="39" t="inlineStr"/>
      <c r="H15" s="39" t="inlineStr"/>
      <c r="I15" s="39" t="inlineStr">
        <is>
          <t>Pending</t>
        </is>
      </c>
      <c r="J15" s="39" t="inlineStr"/>
      <c r="K15" s="39" t="inlineStr"/>
      <c r="L15" s="39" t="inlineStr">
        <is>
          <t>Pending</t>
        </is>
      </c>
      <c r="M15" s="39" t="inlineStr"/>
      <c r="N15" s="39" t="inlineStr"/>
      <c r="O15" s="40" t="inlineStr">
        <is>
          <t>[FE-06] Verified by `InspectionReportApiIntegrationTest`: `analysisIsRefusedUntilTheInspectorAcceptsTheEvidence`, `manualFindingIsAvailableWithoutAnyAnalysis`, `theAuthorCanWriteAStructuredDraftWhenAutomatedDraftingIsUnavailable`, `aManualDraftStillRefusesAnAuthorWithoutAnAcceptedEvidenceDecision`, `qualifiedReviewerCanReturnThenApproveThenPublish`, `reviewerCannotApproveTheAuthorsOwnReport`, and `listingVersionsOfAnInspectionWithoutAReportIsAnEmptyResult`; plus `InspectionReportVersionTest` (11 version-state cases). These ran again on 2026-10-09 within the full backend suite of 156 passing tests. The live external LLM-provider happy path remains unexecuted; the integration context configures no drafting provider, so the manual structured draft is the exercised path.</t>
        </is>
      </c>
      <c r="Q15" s="41" t="n"/>
    </row>
    <row r="16" outlineLevel="1" ht="14" customHeight="1">
      <c r="A16" s="42" t="inlineStr">
        <is>
          <t>WF3-006</t>
        </is>
      </c>
      <c r="B16" s="42" t="inlineStr">
        <is>
          <t>MF3 publishes an immutable approved inspection report version and hands repair-required findings to MF4.</t>
        </is>
      </c>
      <c r="C16" s="42" t="inlineStr">
        <is>
          <t>Complete the MF3 review; publish the approved version; inspect the version metadata (author, reviewer, timestamps, evidence snapshot hash); confirm a published version is never edited; verify only repair-required findings are handed to MF4 and a no-repair outcome does not create an empty work order.</t>
        </is>
      </c>
      <c r="D16" s="42" t="inlineStr">
        <is>
          <t>The approved version is immutable and traceable; only repair-required findings become MF4 work orders; a no-repair outcome closes the inspection without inventing corrective scope.</t>
        </is>
      </c>
      <c r="E16" s="42" t="inlineStr">
        <is>
          <t>An approved MF3 report version and confirmed findings exist.</t>
        </is>
      </c>
      <c r="F16" s="42" t="inlineStr">
        <is>
          <t>Passed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[FE-06] Verified by `InspectionReportApiIntegrationTest.publicationHandsOnlyConfirmedRepairRequiredFindingsToMaintenance`, which asserts `REPAIR_PENDING` plus that exactly one confirmed repair-required finding is handed to MF4, and by `listingVersionsOfAnInspectionWithoutAReportIsAnEmptyResult`. Re-run on 2026-10-09 within the full backend suite of 156 passing tests.</t>
        </is>
      </c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>
      <c r="A18" s="61" t="n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479166666666667" right="0.25" top="0.75" bottom="0.9840277777777777" header="0.5" footer="0.5"/>
  <pageSetup orientation="landscape" paperSize="9" firstPageNumber="0" horizontalDpi="300" verticalDpi="300"/>
  <headerFooter alignWithMargins="0">
    <oddHeader>&amp;LFacilitate_Test Case\Company&amp;Rv1.0</oddHeader>
    <oddFooter>&amp;L&amp;"Tahoma,Regular"&amp;8 02ae-BM/PM/HDCV/FSOFT v2/0&amp;C&amp;"Tahoma,Regular"&amp;10 Internal use&amp;R&amp;"Tahoma,Regular"&amp;8 &amp;P/&amp;N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2026-10-10T01:02:14Z</dcterms:modified>
  <cp:lastModifiedBy>KienNT</cp:lastModifiedBy>
  <cp:category>BM</cp:category>
  <cp:lastPrinted>2010-11-12T10:33:20Z</cp:lastPrinted>
</cp:coreProperties>
</file>